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tings" sheetId="1" state="visible" r:id="rId3"/>
    <sheet name="Punches" sheetId="2" state="visible" r:id="rId4"/>
    <sheet name="Stamina" sheetId="3" state="visible" r:id="rId5"/>
    <sheet name="Guard" sheetId="4" state="visible" r:id="rId6"/>
    <sheet name="Knockdowns &amp; Rounds" sheetId="5" state="visible" r:id="rId7"/>
    <sheet name="Counters &amp; Rang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<sst xmlns="http://schemas.openxmlformats.org/spreadsheetml/2006/main" count="221" uniqueCount="174">
  <si>
    <t xml:space="preserve">South Paw 0.46: core numbers</t>
  </si>
  <si>
    <t xml:space="preserve">Blue numbers are the tunable values. Every other sheet reads from here, so change a number once and the tables update.</t>
  </si>
  <si>
    <t xml:space="preserve">Setting</t>
  </si>
  <si>
    <t xml:space="preserve">Value</t>
  </si>
  <si>
    <t xml:space="preserve">Unit</t>
  </si>
  <si>
    <t xml:space="preserve">Notes</t>
  </si>
  <si>
    <t xml:space="preserve">Starting health (each round)</t>
  </si>
  <si>
    <t xml:space="preserve">points</t>
  </si>
  <si>
    <t xml:space="preserve">Full reset at the start of every round</t>
  </si>
  <si>
    <t xml:space="preserve">Starting stamina (each round)</t>
  </si>
  <si>
    <t xml:space="preserve">Stamina refill rate</t>
  </si>
  <si>
    <t xml:space="preserve">per second</t>
  </si>
  <si>
    <t xml:space="preserve">While not punching</t>
  </si>
  <si>
    <t xml:space="preserve">Refill delay after a punch</t>
  </si>
  <si>
    <t xml:space="preserve">seconds</t>
  </si>
  <si>
    <t xml:space="preserve">Refill starts this long after your last punch</t>
  </si>
  <si>
    <t xml:space="preserve">Refill while blocking</t>
  </si>
  <si>
    <t xml:space="preserve">x normal rate</t>
  </si>
  <si>
    <t xml:space="preserve">Blocking refills at half speed</t>
  </si>
  <si>
    <t xml:space="preserve">Gassed: punches unlock at</t>
  </si>
  <si>
    <t xml:space="preserve">stamina</t>
  </si>
  <si>
    <t xml:space="preserve">At 0 stamina you cannot punch until the bar reaches this</t>
  </si>
  <si>
    <t xml:space="preserve">Guard strength (hidden)</t>
  </si>
  <si>
    <t xml:space="preserve">blocked hits</t>
  </si>
  <si>
    <t xml:space="preserve">Not shown on screen. Normal shot on the guard uses 1, power shot uses 3</t>
  </si>
  <si>
    <t xml:space="preserve">Guard recovery time (hidden)</t>
  </si>
  <si>
    <t xml:space="preserve">One blocked hit is forgiven after this long with no new blocked hit</t>
  </si>
  <si>
    <t xml:space="preserve">Guard break stun</t>
  </si>
  <si>
    <t xml:space="preserve">Arms knocked apart, wide open</t>
  </si>
  <si>
    <t xml:space="preserve">Counter damage multiplier</t>
  </si>
  <si>
    <t xml:space="preserve">x</t>
  </si>
  <si>
    <t xml:space="preserve">Hit them while they are throwing</t>
  </si>
  <si>
    <t xml:space="preserve">Knockdowns allowed per round</t>
  </si>
  <si>
    <t xml:space="preserve">get-ups</t>
  </si>
  <si>
    <t xml:space="preserve">2nd knockdown in a round is a TKO</t>
  </si>
  <si>
    <t xml:space="preserve">Health after 1st knockdown</t>
  </si>
  <si>
    <t xml:space="preserve">Set by the user</t>
  </si>
  <si>
    <t xml:space="preserve">Stamina after 1st knockdown</t>
  </si>
  <si>
    <t xml:space="preserve">Taps to get up</t>
  </si>
  <si>
    <t xml:space="preserve">taps</t>
  </si>
  <si>
    <t xml:space="preserve">Mash before the count of 10</t>
  </si>
  <si>
    <t xml:space="preserve">Wobbled after getting up</t>
  </si>
  <si>
    <t xml:space="preserve">Slower movement, swaying</t>
  </si>
  <si>
    <t xml:space="preserve">Round length</t>
  </si>
  <si>
    <t xml:space="preserve">Rounds per match</t>
  </si>
  <si>
    <t xml:space="preserve">rounds</t>
  </si>
  <si>
    <t xml:space="preserve">Best of 3: first to 2 rounds wins</t>
  </si>
  <si>
    <t xml:space="preserve">Punches (0.47)</t>
  </si>
  <si>
    <t xml:space="preserve">Damage only counts on a clean hit. A blocked punch does no damage. It wears down the hidden guard and still costs the puncher stamina.</t>
  </si>
  <si>
    <t xml:space="preserve">Punch</t>
  </si>
  <si>
    <t xml:space="preserve">How to throw</t>
  </si>
  <si>
    <t xml:space="preserve">Target</t>
  </si>
  <si>
    <t xml:space="preserve">Type</t>
  </si>
  <si>
    <t xml:space="preserve">Health damage (clean)</t>
  </si>
  <si>
    <t xml:space="preserve">Your stamina cost</t>
  </si>
  <si>
    <t xml:space="preserve">Guard wear if blocked (hidden)</t>
  </si>
  <si>
    <t xml:space="preserve">Opponent stamina drained</t>
  </si>
  <si>
    <t xml:space="preserve">Counter damage</t>
  </si>
  <si>
    <t xml:space="preserve">Hits to empty full health</t>
  </si>
  <si>
    <t xml:space="preserve">Punches on a full tank</t>
  </si>
  <si>
    <t xml:space="preserve">Jab</t>
  </si>
  <si>
    <t xml:space="preserve">Left tap</t>
  </si>
  <si>
    <t xml:space="preserve">Head</t>
  </si>
  <si>
    <t xml:space="preserve">Normal</t>
  </si>
  <si>
    <t xml:space="preserve">Cross</t>
  </si>
  <si>
    <t xml:space="preserve">Right tap</t>
  </si>
  <si>
    <t xml:space="preserve">Hook (left or right)</t>
  </si>
  <si>
    <t xml:space="preserve">Hold</t>
  </si>
  <si>
    <t xml:space="preserve">Uppercut</t>
  </si>
  <si>
    <t xml:space="preserve">Stick up + tap</t>
  </si>
  <si>
    <t xml:space="preserve">Body jab</t>
  </si>
  <si>
    <t xml:space="preserve">Stick down + Left tap</t>
  </si>
  <si>
    <t xml:space="preserve">Body</t>
  </si>
  <si>
    <t xml:space="preserve">Body cross</t>
  </si>
  <si>
    <t xml:space="preserve">Stick down + Right tap</t>
  </si>
  <si>
    <t xml:space="preserve">Body hook (left or right)</t>
  </si>
  <si>
    <t xml:space="preserve">Stick down + hold</t>
  </si>
  <si>
    <t xml:space="preserve">Power uppercut</t>
  </si>
  <si>
    <t xml:space="preserve">Stick up + hold</t>
  </si>
  <si>
    <t xml:space="preserve">Power</t>
  </si>
  <si>
    <t xml:space="preserve">Long right hook</t>
  </si>
  <si>
    <t xml:space="preserve">Right hold from range</t>
  </si>
  <si>
    <t xml:space="preserve">Keyboard: Left = J, Right = K, W/S work as stick up/down, Space = block, Shift = dodge.</t>
  </si>
  <si>
    <t xml:space="preserve">Power shots (pink rows) break a guard in one hit; normal shots take 3 in a row. Body hooks also drain the opponent's stamina, which sets up the liver shot.</t>
  </si>
  <si>
    <t xml:space="preserve">Stamina</t>
  </si>
  <si>
    <t xml:space="preserve">Punching spends it, resting refills it fast. Run it dry and you are gassed.</t>
  </si>
  <si>
    <t xml:space="preserve">Situation</t>
  </si>
  <si>
    <t xml:space="preserve">What happens</t>
  </si>
  <si>
    <t xml:space="preserve">Each punch</t>
  </si>
  <si>
    <t xml:space="preserve">Spends its stamina cost (see Punches)</t>
  </si>
  <si>
    <t xml:space="preserve">Not punching</t>
  </si>
  <si>
    <t xml:space="preserve">Refills at the refill rate after the delay</t>
  </si>
  <si>
    <t xml:space="preserve">Blocking</t>
  </si>
  <si>
    <t xml:space="preserve">Refills at the blocking rate</t>
  </si>
  <si>
    <t xml:space="preserve">Empty to full</t>
  </si>
  <si>
    <t xml:space="preserve">Time to refill a full bar from zero</t>
  </si>
  <si>
    <t xml:space="preserve">Gassed (stamina 0)</t>
  </si>
  <si>
    <t xml:space="preserve">Cannot punch until the bar reaches the unlock level. Can still block and move. Bar flashes red, hands drop.</t>
  </si>
  <si>
    <t xml:space="preserve">seconds locked out</t>
  </si>
  <si>
    <t xml:space="preserve">Hit by a body hook</t>
  </si>
  <si>
    <t xml:space="preserve">Loses the body hook drain on top of health damage</t>
  </si>
  <si>
    <t xml:space="preserve">Dodge</t>
  </si>
  <si>
    <t xml:space="preserve">Costs a small amount, more if spammed</t>
  </si>
  <si>
    <t xml:space="preserve">Finished taunt</t>
  </si>
  <si>
    <t xml:space="preserve">Gives some back</t>
  </si>
  <si>
    <t xml:space="preserve">Blocking and guard break</t>
  </si>
  <si>
    <t xml:space="preserve">The guard count is hidden: no number, bar or icon on screen. There is one block: hold the Block button and it stops every punch, head or body.</t>
  </si>
  <si>
    <t xml:space="preserve">Rule</t>
  </si>
  <si>
    <t xml:space="preserve">What the player sees</t>
  </si>
  <si>
    <t xml:space="preserve">Block animations only, then the break: arms knocked apart and a GUARD BREAK! pop</t>
  </si>
  <si>
    <t xml:space="preserve">Normal shot on the guard</t>
  </si>
  <si>
    <t xml:space="preserve">Blocked, no damage. Uses 1 of the hidden guard strength</t>
  </si>
  <si>
    <t xml:space="preserve">Power shot on the guard</t>
  </si>
  <si>
    <t xml:space="preserve">Breaks the guard in one hit</t>
  </si>
  <si>
    <t xml:space="preserve">Normal shots to break a full guard</t>
  </si>
  <si>
    <t xml:space="preserve">Power shots to break a full guard</t>
  </si>
  <si>
    <t xml:space="preserve">Guard break</t>
  </si>
  <si>
    <t xml:space="preserve">Arms knocked apart, stunned and wide open. Next punch lands clean.</t>
  </si>
  <si>
    <t xml:space="preserve">Guard recovery</t>
  </si>
  <si>
    <t xml:space="preserve">One blocked hit is forgiven after this many seconds without a new one</t>
  </si>
  <si>
    <t xml:space="preserve">Which punches it stops</t>
  </si>
  <si>
    <t xml:space="preserve">All of them: jabs, hooks, uppercuts and body shots</t>
  </si>
  <si>
    <t xml:space="preserve">Perfect block (right on time)</t>
  </si>
  <si>
    <t xml:space="preserve">Parry: their punch bounces off and you get a counter chance</t>
  </si>
  <si>
    <t xml:space="preserve">Knockdowns and rounds</t>
  </si>
  <si>
    <t xml:space="preserve">Only one get-up per round. Everything resets at the next round, and the rules are identical in every round.</t>
  </si>
  <si>
    <t xml:space="preserve">Event</t>
  </si>
  <si>
    <t xml:space="preserve">Trigger</t>
  </si>
  <si>
    <t xml:space="preserve">Result</t>
  </si>
  <si>
    <t xml:space="preserve">Health after</t>
  </si>
  <si>
    <t xml:space="preserve">Stamina after</t>
  </si>
  <si>
    <t xml:space="preserve">Also</t>
  </si>
  <si>
    <t xml:space="preserve">1st knockdown</t>
  </si>
  <si>
    <t xml:space="preserve">Health reaches 0</t>
  </si>
  <si>
    <t xml:space="preserve">Mash to get up before 10</t>
  </si>
  <si>
    <t xml:space="preserve">Guard restored, wobbled for 1.5 s</t>
  </si>
  <si>
    <t xml:space="preserve">2nd knockdown</t>
  </si>
  <si>
    <t xml:space="preserve">Health reaches 0 again in the same round</t>
  </si>
  <si>
    <t xml:space="preserve">TKO: the round is lost</t>
  </si>
  <si>
    <t xml:space="preserve">-</t>
  </si>
  <si>
    <t xml:space="preserve">Round ends</t>
  </si>
  <si>
    <t xml:space="preserve">Liver shot</t>
  </si>
  <si>
    <t xml:space="preserve">Left body hook lands clean while the opponent is gassed</t>
  </si>
  <si>
    <t xml:space="preserve">Not a knockdown: no count, no knockdown added</t>
  </si>
  <si>
    <t xml:space="preserve">Unchanged (only the hook's own damage)</t>
  </si>
  <si>
    <t xml:space="preserve">Drops to one knee for about 3 s and gets up on his own</t>
  </si>
  <si>
    <t xml:space="preserve">Counted out</t>
  </si>
  <si>
    <t xml:space="preserve">Did not get up before 10</t>
  </si>
  <si>
    <t xml:space="preserve">KO: the round is lost</t>
  </si>
  <si>
    <t xml:space="preserve">Rounds</t>
  </si>
  <si>
    <t xml:space="preserve">best of 3</t>
  </si>
  <si>
    <t xml:space="preserve">Rounds needed to win</t>
  </si>
  <si>
    <t xml:space="preserve">Win a round</t>
  </si>
  <si>
    <t xml:space="preserve">By KO or TKO, otherwise by more damage dealt</t>
  </si>
  <si>
    <t xml:space="preserve">Start of each round</t>
  </si>
  <si>
    <t xml:space="preserve">Health, stamina, guard and knockdowns all reset</t>
  </si>
  <si>
    <t xml:space="preserve">Counters, dodges and range</t>
  </si>
  <si>
    <t xml:space="preserve">The only things that change damage. Everything else is hidden from the player.</t>
  </si>
  <si>
    <t xml:space="preserve">When</t>
  </si>
  <si>
    <t xml:space="preserve">Damage x</t>
  </si>
  <si>
    <t xml:space="preserve">Counter</t>
  </si>
  <si>
    <t xml:space="preserve">Your punch lands while they are throwing</t>
  </si>
  <si>
    <t xml:space="preserve">Slow-motion moment, COUNTER! pop</t>
  </si>
  <si>
    <t xml:space="preserve">Dodge counter</t>
  </si>
  <si>
    <t xml:space="preserve">You dodge a punch at the right moment, your next punch is a counter</t>
  </si>
  <si>
    <t xml:space="preserve">Slip beats straights, duck beats straights and hooks, lean back beats head shots</t>
  </si>
  <si>
    <t xml:space="preserve">Too close (smothered)</t>
  </si>
  <si>
    <t xml:space="preserve">Punch thrown from too close</t>
  </si>
  <si>
    <t xml:space="preserve">Felt, not shown</t>
  </si>
  <si>
    <t xml:space="preserve">Fingertip range</t>
  </si>
  <si>
    <t xml:space="preserve">Punch only just reaches</t>
  </si>
  <si>
    <t xml:space="preserve">Gassed</t>
  </si>
  <si>
    <t xml:space="preserve">Cannot throw at all until the unlock level</t>
  </si>
  <si>
    <t xml:space="preserve">See Stamina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</si>
</sst>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DE8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CD4"/>
      </left>
      <right style="thin">
        <color rgb="FFC8CCD4"/>
      </right>
      <top style="thin">
        <color rgb="FFC8CCD4"/>
      </top>
      <bottom style="thin">
        <color rgb="FFC8CC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CD4"/>
      <rgbColor rgb="FF808080"/>
      <rgbColor rgb="FF9999FF"/>
      <rgbColor rgb="FF993366"/>
      <rgbColor rgb="FFFDE8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v>100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v>100</v>
      </c>
      <c r="C6" s="5" t="s">
        <v>7</v>
      </c>
      <c r="D6" s="5" t="s">
        <v>8</v>
      </c>
    </row>
    <row r="7" customFormat="false" ht="15" hidden="false" customHeight="false" outlineLevel="0" collapsed="false">
      <c r="A7" s="5" t="s">
        <v>10</v>
      </c>
      <c r="B7" s="6" t="n">
        <v>25</v>
      </c>
      <c r="C7" s="5" t="s">
        <v>11</v>
      </c>
      <c r="D7" s="5" t="s">
        <v>12</v>
      </c>
    </row>
    <row r="8" customFormat="false" ht="15" hidden="false" customHeight="false" outlineLevel="0" collapsed="false">
      <c r="A8" s="5" t="s">
        <v>13</v>
      </c>
      <c r="B8" s="6" t="n">
        <v>0.5</v>
      </c>
      <c r="C8" s="5" t="s">
        <v>14</v>
      </c>
      <c r="D8" s="5" t="s">
        <v>15</v>
      </c>
    </row>
    <row r="9" customFormat="false" ht="15" hidden="false" customHeight="false" outlineLevel="0" collapsed="false">
      <c r="A9" s="5" t="s">
        <v>16</v>
      </c>
      <c r="B9" s="6" t="n">
        <v>0.5</v>
      </c>
      <c r="C9" s="5" t="s">
        <v>17</v>
      </c>
      <c r="D9" s="5" t="s">
        <v>18</v>
      </c>
    </row>
    <row r="10" customFormat="false" ht="15" hidden="false" customHeight="false" outlineLevel="0" collapsed="false">
      <c r="A10" s="5" t="s">
        <v>19</v>
      </c>
      <c r="B10" s="6" t="n">
        <v>30</v>
      </c>
      <c r="C10" s="5" t="s">
        <v>20</v>
      </c>
      <c r="D10" s="5" t="s">
        <v>21</v>
      </c>
    </row>
    <row r="11" customFormat="false" ht="26.85" hidden="false" customHeight="false" outlineLevel="0" collapsed="false">
      <c r="A11" s="5" t="s">
        <v>22</v>
      </c>
      <c r="B11" s="6" t="n">
        <v>3</v>
      </c>
      <c r="C11" s="5" t="s">
        <v>23</v>
      </c>
      <c r="D11" s="5" t="s">
        <v>24</v>
      </c>
    </row>
    <row r="12" customFormat="false" ht="26.85" hidden="false" customHeight="false" outlineLevel="0" collapsed="false">
      <c r="A12" s="5" t="s">
        <v>25</v>
      </c>
      <c r="B12" s="6" t="n">
        <v>2</v>
      </c>
      <c r="C12" s="5" t="s">
        <v>14</v>
      </c>
      <c r="D12" s="5" t="s">
        <v>26</v>
      </c>
    </row>
    <row r="13" customFormat="false" ht="15" hidden="false" customHeight="false" outlineLevel="0" collapsed="false">
      <c r="A13" s="5" t="s">
        <v>27</v>
      </c>
      <c r="B13" s="6" t="n">
        <v>0.7</v>
      </c>
      <c r="C13" s="5" t="s">
        <v>14</v>
      </c>
      <c r="D13" s="5" t="s">
        <v>28</v>
      </c>
    </row>
    <row r="14" customFormat="false" ht="15" hidden="false" customHeight="false" outlineLevel="0" collapsed="false">
      <c r="A14" s="5" t="s">
        <v>29</v>
      </c>
      <c r="B14" s="6" t="n">
        <v>1.5</v>
      </c>
      <c r="C14" s="5" t="s">
        <v>30</v>
      </c>
      <c r="D14" s="5" t="s">
        <v>31</v>
      </c>
    </row>
    <row r="15" customFormat="false" ht="15" hidden="false" customHeight="false" outlineLevel="0" collapsed="false">
      <c r="A15" s="5" t="s">
        <v>32</v>
      </c>
      <c r="B15" s="6" t="n">
        <v>1</v>
      </c>
      <c r="C15" s="5" t="s">
        <v>33</v>
      </c>
      <c r="D15" s="5" t="s">
        <v>34</v>
      </c>
    </row>
    <row r="16" customFormat="false" ht="15" hidden="false" customHeight="false" outlineLevel="0" collapsed="false">
      <c r="A16" s="5" t="s">
        <v>35</v>
      </c>
      <c r="B16" s="6" t="n">
        <v>40</v>
      </c>
      <c r="C16" s="5" t="s">
        <v>7</v>
      </c>
      <c r="D16" s="5" t="s">
        <v>36</v>
      </c>
    </row>
    <row r="17" customFormat="false" ht="15" hidden="false" customHeight="false" outlineLevel="0" collapsed="false">
      <c r="A17" s="5" t="s">
        <v>37</v>
      </c>
      <c r="B17" s="6" t="n">
        <v>50</v>
      </c>
      <c r="C17" s="5" t="s">
        <v>7</v>
      </c>
      <c r="D17" s="5" t="s">
        <v>36</v>
      </c>
    </row>
    <row r="18" customFormat="false" ht="15" hidden="false" customHeight="false" outlineLevel="0" collapsed="false">
      <c r="A18" s="5" t="s">
        <v>38</v>
      </c>
      <c r="B18" s="6" t="n">
        <v>12</v>
      </c>
      <c r="C18" s="5" t="s">
        <v>39</v>
      </c>
      <c r="D18" s="5" t="s">
        <v>40</v>
      </c>
    </row>
    <row r="19" customFormat="false" ht="15" hidden="false" customHeight="false" outlineLevel="0" collapsed="false">
      <c r="A19" s="5" t="s">
        <v>41</v>
      </c>
      <c r="B19" s="6" t="n">
        <v>1.5</v>
      </c>
      <c r="C19" s="5" t="s">
        <v>14</v>
      </c>
      <c r="D19" s="5" t="s">
        <v>42</v>
      </c>
    </row>
    <row r="20" customFormat="false" ht="15" hidden="false" customHeight="false" outlineLevel="0" collapsed="false">
      <c r="A20" s="5" t="s">
        <v>43</v>
      </c>
      <c r="B20" s="6" t="n">
        <v>60</v>
      </c>
      <c r="C20" s="5" t="s">
        <v>14</v>
      </c>
      <c r="D20" s="5"/>
    </row>
    <row r="21" customFormat="false" ht="15" hidden="false" customHeight="false" outlineLevel="0" collapsed="false">
      <c r="A21" s="5" t="s">
        <v>44</v>
      </c>
      <c r="B21" s="6" t="n">
        <v>3</v>
      </c>
      <c r="C21" s="5" t="s">
        <v>45</v>
      </c>
      <c r="D21" s="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4" min="3" style="0" width="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48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9.55" hidden="false" customHeight="false" outlineLevel="0" collapsed="false">
      <c r="A4" s="4" t="s">
        <v>49</v>
      </c>
      <c r="B4" s="4" t="s">
        <v>50</v>
      </c>
      <c r="C4" s="4" t="s">
        <v>51</v>
      </c>
      <c r="D4" s="4" t="s">
        <v>52</v>
      </c>
      <c r="E4" s="4" t="s">
        <v>53</v>
      </c>
      <c r="F4" s="4" t="s">
        <v>54</v>
      </c>
      <c r="G4" s="4" t="s">
        <v>55</v>
      </c>
      <c r="H4" s="4" t="s">
        <v>56</v>
      </c>
      <c r="I4" s="4" t="s">
        <v>57</v>
      </c>
      <c r="J4" s="4" t="s">
        <v>58</v>
      </c>
      <c r="K4" s="4" t="s">
        <v>59</v>
      </c>
    </row>
    <row r="5" customFormat="false" ht="15" hidden="false" customHeight="false" outlineLevel="0" collapsed="false">
      <c r="A5" s="5" t="s">
        <v>60</v>
      </c>
      <c r="B5" s="5" t="s">
        <v>61</v>
      </c>
      <c r="C5" s="5" t="s">
        <v>62</v>
      </c>
      <c r="D5" s="5" t="s">
        <v>63</v>
      </c>
      <c r="E5" s="6" t="n">
        <v>5</v>
      </c>
      <c r="F5" s="6" t="n">
        <v>8</v>
      </c>
      <c r="G5" s="6" t="n">
        <v>1</v>
      </c>
      <c r="H5" s="6" t="n">
        <v>0</v>
      </c>
      <c r="I5" s="7" t="n">
        <f aca="false">E5*Settings!$B$14</f>
        <v>7.5</v>
      </c>
      <c r="J5" s="5" t="n">
        <f aca="false">ROUNDUP(Settings!$B$5/E5,0)</f>
        <v>20</v>
      </c>
      <c r="K5" s="5" t="n">
        <f aca="false">INT(Settings!$B$6/F5)</f>
        <v>12</v>
      </c>
    </row>
    <row r="6" customFormat="false" ht="15" hidden="false" customHeight="false" outlineLevel="0" collapsed="false">
      <c r="A6" s="5" t="s">
        <v>64</v>
      </c>
      <c r="B6" s="5" t="s">
        <v>65</v>
      </c>
      <c r="C6" s="5" t="s">
        <v>62</v>
      </c>
      <c r="D6" s="5" t="s">
        <v>63</v>
      </c>
      <c r="E6" s="6" t="n">
        <v>7</v>
      </c>
      <c r="F6" s="6" t="n">
        <v>10</v>
      </c>
      <c r="G6" s="6" t="n">
        <v>1</v>
      </c>
      <c r="H6" s="6" t="n">
        <v>0</v>
      </c>
      <c r="I6" s="7" t="n">
        <f aca="false">E6*Settings!$B$14</f>
        <v>10.5</v>
      </c>
      <c r="J6" s="5" t="n">
        <f aca="false">ROUNDUP(Settings!$B$5/E6,0)</f>
        <v>15</v>
      </c>
      <c r="K6" s="5" t="n">
        <f aca="false">INT(Settings!$B$6/F6)</f>
        <v>10</v>
      </c>
    </row>
    <row r="7" customFormat="false" ht="15" hidden="false" customHeight="false" outlineLevel="0" collapsed="false">
      <c r="A7" s="5" t="s">
        <v>66</v>
      </c>
      <c r="B7" s="5" t="s">
        <v>67</v>
      </c>
      <c r="C7" s="5" t="s">
        <v>62</v>
      </c>
      <c r="D7" s="5" t="s">
        <v>63</v>
      </c>
      <c r="E7" s="6" t="n">
        <v>10</v>
      </c>
      <c r="F7" s="6" t="n">
        <v>15</v>
      </c>
      <c r="G7" s="6" t="n">
        <v>1</v>
      </c>
      <c r="H7" s="6" t="n">
        <v>0</v>
      </c>
      <c r="I7" s="7" t="n">
        <f aca="false">E7*Settings!$B$14</f>
        <v>15</v>
      </c>
      <c r="J7" s="5" t="n">
        <f aca="false">ROUNDUP(Settings!$B$5/E7,0)</f>
        <v>10</v>
      </c>
      <c r="K7" s="5" t="n">
        <f aca="false">INT(Settings!$B$6/F7)</f>
        <v>6</v>
      </c>
    </row>
    <row r="8" customFormat="false" ht="15" hidden="false" customHeight="false" outlineLevel="0" collapsed="false">
      <c r="A8" s="5" t="s">
        <v>68</v>
      </c>
      <c r="B8" s="5" t="s">
        <v>69</v>
      </c>
      <c r="C8" s="5" t="s">
        <v>62</v>
      </c>
      <c r="D8" s="5" t="s">
        <v>63</v>
      </c>
      <c r="E8" s="6" t="n">
        <v>12</v>
      </c>
      <c r="F8" s="6" t="n">
        <v>18</v>
      </c>
      <c r="G8" s="6" t="n">
        <v>1</v>
      </c>
      <c r="H8" s="6" t="n">
        <v>0</v>
      </c>
      <c r="I8" s="7" t="n">
        <f aca="false">E8*Settings!$B$14</f>
        <v>18</v>
      </c>
      <c r="J8" s="5" t="n">
        <f aca="false">ROUNDUP(Settings!$B$5/E8,0)</f>
        <v>9</v>
      </c>
      <c r="K8" s="5" t="n">
        <f aca="false">INT(Settings!$B$6/F8)</f>
        <v>5</v>
      </c>
    </row>
    <row r="9" customFormat="false" ht="15" hidden="false" customHeight="false" outlineLevel="0" collapsed="false">
      <c r="A9" s="5" t="s">
        <v>70</v>
      </c>
      <c r="B9" s="5" t="s">
        <v>71</v>
      </c>
      <c r="C9" s="5" t="s">
        <v>72</v>
      </c>
      <c r="D9" s="5" t="s">
        <v>63</v>
      </c>
      <c r="E9" s="6" t="n">
        <v>6</v>
      </c>
      <c r="F9" s="6" t="n">
        <v>9</v>
      </c>
      <c r="G9" s="6" t="n">
        <v>1</v>
      </c>
      <c r="H9" s="6" t="n">
        <v>0</v>
      </c>
      <c r="I9" s="7" t="n">
        <f aca="false">E9*Settings!$B$14</f>
        <v>9</v>
      </c>
      <c r="J9" s="5" t="n">
        <f aca="false">ROUNDUP(Settings!$B$5/E9,0)</f>
        <v>17</v>
      </c>
      <c r="K9" s="5" t="n">
        <f aca="false">INT(Settings!$B$6/F9)</f>
        <v>11</v>
      </c>
    </row>
    <row r="10" customFormat="false" ht="15" hidden="false" customHeight="false" outlineLevel="0" collapsed="false">
      <c r="A10" s="5" t="s">
        <v>73</v>
      </c>
      <c r="B10" s="5" t="s">
        <v>74</v>
      </c>
      <c r="C10" s="5" t="s">
        <v>72</v>
      </c>
      <c r="D10" s="5" t="s">
        <v>63</v>
      </c>
      <c r="E10" s="6" t="n">
        <v>6</v>
      </c>
      <c r="F10" s="6" t="n">
        <v>9</v>
      </c>
      <c r="G10" s="6" t="n">
        <v>1</v>
      </c>
      <c r="H10" s="6" t="n">
        <v>0</v>
      </c>
      <c r="I10" s="7" t="n">
        <f aca="false">E10*Settings!$B$14</f>
        <v>9</v>
      </c>
      <c r="J10" s="5" t="n">
        <f aca="false">ROUNDUP(Settings!$B$5/E10,0)</f>
        <v>17</v>
      </c>
      <c r="K10" s="5" t="n">
        <f aca="false">INT(Settings!$B$6/F10)</f>
        <v>11</v>
      </c>
    </row>
    <row r="11" customFormat="false" ht="15" hidden="false" customHeight="false" outlineLevel="0" collapsed="false">
      <c r="A11" s="5" t="s">
        <v>75</v>
      </c>
      <c r="B11" s="5" t="s">
        <v>76</v>
      </c>
      <c r="C11" s="5" t="s">
        <v>72</v>
      </c>
      <c r="D11" s="5" t="s">
        <v>63</v>
      </c>
      <c r="E11" s="6" t="n">
        <v>10</v>
      </c>
      <c r="F11" s="6" t="n">
        <v>16</v>
      </c>
      <c r="G11" s="6" t="n">
        <v>1</v>
      </c>
      <c r="H11" s="6" t="n">
        <v>15</v>
      </c>
      <c r="I11" s="7" t="n">
        <f aca="false">E11*Settings!$B$14</f>
        <v>15</v>
      </c>
      <c r="J11" s="5" t="n">
        <f aca="false">ROUNDUP(Settings!$B$5/E11,0)</f>
        <v>10</v>
      </c>
      <c r="K11" s="5" t="n">
        <f aca="false">INT(Settings!$B$6/F11)</f>
        <v>6</v>
      </c>
    </row>
    <row r="12" customFormat="false" ht="15" hidden="false" customHeight="false" outlineLevel="0" collapsed="false">
      <c r="A12" s="8" t="s">
        <v>77</v>
      </c>
      <c r="B12" s="8" t="s">
        <v>78</v>
      </c>
      <c r="C12" s="8" t="s">
        <v>62</v>
      </c>
      <c r="D12" s="8" t="s">
        <v>79</v>
      </c>
      <c r="E12" s="9" t="n">
        <v>18</v>
      </c>
      <c r="F12" s="9" t="n">
        <v>28</v>
      </c>
      <c r="G12" s="9" t="n">
        <v>3</v>
      </c>
      <c r="H12" s="9" t="n">
        <v>0</v>
      </c>
      <c r="I12" s="10" t="n">
        <f aca="false">E12*Settings!$B$14</f>
        <v>27</v>
      </c>
      <c r="J12" s="8" t="n">
        <f aca="false">ROUNDUP(Settings!$B$5/E12,0)</f>
        <v>6</v>
      </c>
      <c r="K12" s="8" t="n">
        <f aca="false">INT(Settings!$B$6/F12)</f>
        <v>3</v>
      </c>
    </row>
    <row r="13" customFormat="false" ht="15" hidden="false" customHeight="false" outlineLevel="0" collapsed="false">
      <c r="A13" s="8" t="s">
        <v>80</v>
      </c>
      <c r="B13" s="8" t="s">
        <v>81</v>
      </c>
      <c r="C13" s="8" t="s">
        <v>62</v>
      </c>
      <c r="D13" s="8" t="s">
        <v>79</v>
      </c>
      <c r="E13" s="9" t="n">
        <v>15</v>
      </c>
      <c r="F13" s="9" t="n">
        <v>24</v>
      </c>
      <c r="G13" s="9" t="n">
        <v>3</v>
      </c>
      <c r="H13" s="9" t="n">
        <v>0</v>
      </c>
      <c r="I13" s="10" t="n">
        <f aca="false">E13*Settings!$B$14</f>
        <v>22.5</v>
      </c>
      <c r="J13" s="8" t="n">
        <f aca="false">ROUNDUP(Settings!$B$5/E13,0)</f>
        <v>7</v>
      </c>
      <c r="K13" s="8" t="n">
        <f aca="false">INT(Settings!$B$6/F13)</f>
        <v>4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3" t="s">
        <v>82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3" t="s">
        <v>83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1" t="s">
        <v>84</v>
      </c>
      <c r="B1" s="2"/>
      <c r="C1" s="2"/>
      <c r="D1" s="2"/>
    </row>
    <row r="2" customFormat="false" ht="15" hidden="false" customHeight="false" outlineLevel="0" collapsed="false">
      <c r="A2" s="3" t="s">
        <v>85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86</v>
      </c>
      <c r="B4" s="4" t="s">
        <v>87</v>
      </c>
      <c r="C4" s="4" t="s">
        <v>3</v>
      </c>
      <c r="D4" s="4" t="s">
        <v>4</v>
      </c>
    </row>
    <row r="5" customFormat="false" ht="15" hidden="false" customHeight="false" outlineLevel="0" collapsed="false">
      <c r="A5" s="5" t="s">
        <v>88</v>
      </c>
      <c r="B5" s="5" t="s">
        <v>89</v>
      </c>
      <c r="C5" s="11"/>
      <c r="D5" s="5"/>
    </row>
    <row r="6" customFormat="false" ht="15" hidden="false" customHeight="false" outlineLevel="0" collapsed="false">
      <c r="A6" s="5" t="s">
        <v>90</v>
      </c>
      <c r="B6" s="5" t="s">
        <v>91</v>
      </c>
      <c r="C6" s="7" t="n">
        <f aca="false">Settings!$B$7</f>
        <v>25</v>
      </c>
      <c r="D6" s="5" t="s">
        <v>11</v>
      </c>
    </row>
    <row r="7" customFormat="false" ht="15" hidden="false" customHeight="false" outlineLevel="0" collapsed="false">
      <c r="A7" s="5" t="s">
        <v>92</v>
      </c>
      <c r="B7" s="5" t="s">
        <v>93</v>
      </c>
      <c r="C7" s="7" t="n">
        <f aca="false">Settings!$B$7*Settings!$B$9</f>
        <v>12.5</v>
      </c>
      <c r="D7" s="5" t="s">
        <v>11</v>
      </c>
    </row>
    <row r="8" customFormat="false" ht="15" hidden="false" customHeight="false" outlineLevel="0" collapsed="false">
      <c r="A8" s="5" t="s">
        <v>94</v>
      </c>
      <c r="B8" s="5" t="s">
        <v>95</v>
      </c>
      <c r="C8" s="7" t="n">
        <f aca="false">Settings!$B$6/Settings!$B$7</f>
        <v>4</v>
      </c>
      <c r="D8" s="5" t="s">
        <v>14</v>
      </c>
    </row>
    <row r="9" customFormat="false" ht="26.85" hidden="false" customHeight="false" outlineLevel="0" collapsed="false">
      <c r="A9" s="5" t="s">
        <v>96</v>
      </c>
      <c r="B9" s="5" t="s">
        <v>97</v>
      </c>
      <c r="C9" s="7" t="n">
        <f aca="false">Settings!$B$10/Settings!$B$7</f>
        <v>1.2</v>
      </c>
      <c r="D9" s="5" t="s">
        <v>98</v>
      </c>
    </row>
    <row r="10" customFormat="false" ht="15" hidden="false" customHeight="false" outlineLevel="0" collapsed="false">
      <c r="A10" s="5" t="s">
        <v>99</v>
      </c>
      <c r="B10" s="5" t="s">
        <v>100</v>
      </c>
      <c r="C10" s="7" t="n">
        <f aca="false">Punches!H11</f>
        <v>15</v>
      </c>
      <c r="D10" s="5" t="s">
        <v>20</v>
      </c>
    </row>
    <row r="11" customFormat="false" ht="15" hidden="false" customHeight="false" outlineLevel="0" collapsed="false">
      <c r="A11" s="5" t="s">
        <v>101</v>
      </c>
      <c r="B11" s="5" t="s">
        <v>102</v>
      </c>
      <c r="C11" s="11" t="n">
        <v>6</v>
      </c>
      <c r="D11" s="5" t="s">
        <v>20</v>
      </c>
    </row>
    <row r="12" customFormat="false" ht="15" hidden="false" customHeight="false" outlineLevel="0" collapsed="false">
      <c r="A12" s="5" t="s">
        <v>103</v>
      </c>
      <c r="B12" s="5" t="s">
        <v>104</v>
      </c>
      <c r="C12" s="11" t="n">
        <v>10</v>
      </c>
      <c r="D12" s="5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105</v>
      </c>
      <c r="B1" s="2"/>
      <c r="C1" s="2"/>
    </row>
    <row r="2" customFormat="false" ht="15" hidden="false" customHeight="false" outlineLevel="0" collapsed="false">
      <c r="A2" s="3" t="s">
        <v>106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107</v>
      </c>
      <c r="B4" s="4" t="s">
        <v>87</v>
      </c>
      <c r="C4" s="4" t="s">
        <v>3</v>
      </c>
    </row>
    <row r="5" customFormat="false" ht="26.85" hidden="false" customHeight="false" outlineLevel="0" collapsed="false">
      <c r="A5" s="5" t="s">
        <v>108</v>
      </c>
      <c r="B5" s="5" t="s">
        <v>109</v>
      </c>
      <c r="C5" s="5"/>
    </row>
    <row r="6" customFormat="false" ht="15" hidden="false" customHeight="false" outlineLevel="0" collapsed="false">
      <c r="A6" s="5" t="s">
        <v>110</v>
      </c>
      <c r="B6" s="5" t="s">
        <v>111</v>
      </c>
      <c r="C6" s="5" t="n">
        <f aca="false">Punches!G5</f>
        <v>1</v>
      </c>
    </row>
    <row r="7" customFormat="false" ht="15" hidden="false" customHeight="false" outlineLevel="0" collapsed="false">
      <c r="A7" s="5" t="s">
        <v>112</v>
      </c>
      <c r="B7" s="5" t="s">
        <v>113</v>
      </c>
      <c r="C7" s="5" t="n">
        <f aca="false">Punches!G12</f>
        <v>3</v>
      </c>
    </row>
    <row r="8" customFormat="false" ht="15" hidden="false" customHeight="false" outlineLevel="0" collapsed="false">
      <c r="A8" s="5" t="s">
        <v>114</v>
      </c>
      <c r="B8" s="5"/>
      <c r="C8" s="5" t="n">
        <f aca="false">Settings!$B$11/Punches!G5</f>
        <v>3</v>
      </c>
    </row>
    <row r="9" customFormat="false" ht="15" hidden="false" customHeight="false" outlineLevel="0" collapsed="false">
      <c r="A9" s="5" t="s">
        <v>115</v>
      </c>
      <c r="B9" s="5"/>
      <c r="C9" s="5" t="n">
        <f aca="false">ROUNDUP(Settings!$B$11/Punches!G12,0)</f>
        <v>1</v>
      </c>
    </row>
    <row r="10" customFormat="false" ht="26.85" hidden="false" customHeight="false" outlineLevel="0" collapsed="false">
      <c r="A10" s="5" t="s">
        <v>116</v>
      </c>
      <c r="B10" s="5" t="s">
        <v>117</v>
      </c>
      <c r="C10" s="5" t="n">
        <f aca="false">Settings!$B$13</f>
        <v>0.7</v>
      </c>
    </row>
    <row r="11" customFormat="false" ht="26.85" hidden="false" customHeight="false" outlineLevel="0" collapsed="false">
      <c r="A11" s="5" t="s">
        <v>118</v>
      </c>
      <c r="B11" s="5" t="s">
        <v>119</v>
      </c>
      <c r="C11" s="5" t="n">
        <f aca="false">Settings!$B$12</f>
        <v>2</v>
      </c>
    </row>
    <row r="12" customFormat="false" ht="15" hidden="false" customHeight="false" outlineLevel="0" collapsed="false">
      <c r="A12" s="5" t="s">
        <v>120</v>
      </c>
      <c r="B12" s="5" t="s">
        <v>121</v>
      </c>
      <c r="C12" s="5"/>
    </row>
    <row r="13" customFormat="false" ht="15" hidden="false" customHeight="false" outlineLevel="0" collapsed="false">
      <c r="A13" s="5" t="s">
        <v>122</v>
      </c>
      <c r="B13" s="5" t="s">
        <v>123</v>
      </c>
      <c r="C1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5" min="4" style="0" width="13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124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125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26.85" hidden="false" customHeight="false" outlineLevel="0" collapsed="false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131</v>
      </c>
    </row>
    <row r="5" customFormat="false" ht="26.85" hidden="false" customHeight="false" outlineLevel="0" collapsed="false">
      <c r="A5" s="5" t="s">
        <v>132</v>
      </c>
      <c r="B5" s="5" t="s">
        <v>133</v>
      </c>
      <c r="C5" s="5" t="s">
        <v>134</v>
      </c>
      <c r="D5" s="5" t="n">
        <f aca="false">Settings!$B$16</f>
        <v>40</v>
      </c>
      <c r="E5" s="5" t="n">
        <f aca="false">Settings!$B$17</f>
        <v>50</v>
      </c>
      <c r="F5" s="5" t="s">
        <v>135</v>
      </c>
    </row>
    <row r="6" customFormat="false" ht="15" hidden="false" customHeight="false" outlineLevel="0" collapsed="false">
      <c r="A6" s="5" t="s">
        <v>136</v>
      </c>
      <c r="B6" s="5" t="s">
        <v>137</v>
      </c>
      <c r="C6" s="5" t="s">
        <v>138</v>
      </c>
      <c r="D6" s="5" t="s">
        <v>139</v>
      </c>
      <c r="E6" s="5" t="s">
        <v>139</v>
      </c>
      <c r="F6" s="5" t="s">
        <v>140</v>
      </c>
    </row>
    <row r="7" customFormat="false" ht="52.2" hidden="false" customHeight="false" outlineLevel="0" collapsed="false">
      <c r="A7" s="5" t="s">
        <v>141</v>
      </c>
      <c r="B7" s="5" t="s">
        <v>142</v>
      </c>
      <c r="C7" s="5" t="s">
        <v>143</v>
      </c>
      <c r="D7" s="5" t="s">
        <v>144</v>
      </c>
      <c r="E7" s="5" t="n">
        <f aca="false">Settings!$B$10</f>
        <v>30</v>
      </c>
      <c r="F7" s="5" t="s">
        <v>145</v>
      </c>
    </row>
    <row r="8" customFormat="false" ht="15" hidden="false" customHeight="false" outlineLevel="0" collapsed="false">
      <c r="A8" s="5" t="s">
        <v>146</v>
      </c>
      <c r="B8" s="5" t="s">
        <v>147</v>
      </c>
      <c r="C8" s="5" t="s">
        <v>148</v>
      </c>
      <c r="D8" s="5" t="s">
        <v>139</v>
      </c>
      <c r="E8" s="5" t="s">
        <v>139</v>
      </c>
      <c r="F8" s="5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12" t="s">
        <v>149</v>
      </c>
      <c r="B10" s="2"/>
      <c r="C10" s="2"/>
      <c r="D10" s="2"/>
      <c r="E10" s="2"/>
      <c r="F10" s="2"/>
    </row>
    <row r="11" customFormat="false" ht="15" hidden="false" customHeight="false" outlineLevel="0" collapsed="false">
      <c r="A11" s="4" t="s">
        <v>107</v>
      </c>
      <c r="B11" s="4" t="s">
        <v>3</v>
      </c>
      <c r="C11" s="4" t="s">
        <v>4</v>
      </c>
      <c r="D11" s="2"/>
      <c r="E11" s="2"/>
      <c r="F11" s="2"/>
    </row>
    <row r="12" customFormat="false" ht="15" hidden="false" customHeight="false" outlineLevel="0" collapsed="false">
      <c r="A12" s="5" t="s">
        <v>43</v>
      </c>
      <c r="B12" s="5" t="n">
        <f aca="false">Settings!$B$20</f>
        <v>60</v>
      </c>
      <c r="C12" s="5" t="s">
        <v>14</v>
      </c>
      <c r="D12" s="2"/>
      <c r="E12" s="2"/>
      <c r="F12" s="2"/>
    </row>
    <row r="13" customFormat="false" ht="15" hidden="false" customHeight="false" outlineLevel="0" collapsed="false">
      <c r="A13" s="5" t="s">
        <v>44</v>
      </c>
      <c r="B13" s="5" t="n">
        <f aca="false">Settings!$B$21</f>
        <v>3</v>
      </c>
      <c r="C13" s="5" t="s">
        <v>150</v>
      </c>
      <c r="D13" s="2"/>
      <c r="E13" s="2"/>
      <c r="F13" s="2"/>
    </row>
    <row r="14" customFormat="false" ht="15" hidden="false" customHeight="false" outlineLevel="0" collapsed="false">
      <c r="A14" s="5" t="s">
        <v>151</v>
      </c>
      <c r="B14" s="5" t="n">
        <f aca="false">INT(Settings!$B$21/2)+1</f>
        <v>2</v>
      </c>
      <c r="C14" s="5" t="s">
        <v>45</v>
      </c>
      <c r="D14" s="2"/>
      <c r="E14" s="2"/>
      <c r="F14" s="2"/>
    </row>
    <row r="15" customFormat="false" ht="26.85" hidden="false" customHeight="false" outlineLevel="0" collapsed="false">
      <c r="A15" s="5" t="s">
        <v>152</v>
      </c>
      <c r="B15" s="5" t="s">
        <v>153</v>
      </c>
      <c r="C15" s="5"/>
      <c r="D15" s="2"/>
      <c r="E15" s="2"/>
      <c r="F15" s="2"/>
    </row>
    <row r="16" customFormat="false" ht="26.85" hidden="false" customHeight="false" outlineLevel="0" collapsed="false">
      <c r="A16" s="5" t="s">
        <v>154</v>
      </c>
      <c r="B16" s="5" t="s">
        <v>155</v>
      </c>
      <c r="C16" s="5"/>
      <c r="D16" s="2"/>
      <c r="E16" s="2"/>
      <c r="F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54"/>
  </cols>
  <sheetData>
    <row r="1" customFormat="false" ht="17.35" hidden="false" customHeight="false" outlineLevel="0" collapsed="false">
      <c r="A1" s="1" t="s">
        <v>156</v>
      </c>
      <c r="B1" s="2"/>
      <c r="C1" s="2"/>
      <c r="D1" s="2"/>
    </row>
    <row r="2" customFormat="false" ht="15" hidden="false" customHeight="false" outlineLevel="0" collapsed="false">
      <c r="A2" s="3" t="s">
        <v>157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26.85" hidden="false" customHeight="false" outlineLevel="0" collapsed="false">
      <c r="A4" s="4" t="s">
        <v>86</v>
      </c>
      <c r="B4" s="4" t="s">
        <v>158</v>
      </c>
      <c r="C4" s="4" t="s">
        <v>159</v>
      </c>
      <c r="D4" s="4" t="s">
        <v>5</v>
      </c>
    </row>
    <row r="5" customFormat="false" ht="15" hidden="false" customHeight="false" outlineLevel="0" collapsed="false">
      <c r="A5" s="5" t="s">
        <v>160</v>
      </c>
      <c r="B5" s="5" t="s">
        <v>161</v>
      </c>
      <c r="C5" s="5" t="n">
        <f aca="false">Settings!$B$14</f>
        <v>1.5</v>
      </c>
      <c r="D5" s="5" t="s">
        <v>162</v>
      </c>
    </row>
    <row r="6" customFormat="false" ht="26.85" hidden="false" customHeight="false" outlineLevel="0" collapsed="false">
      <c r="A6" s="5" t="s">
        <v>163</v>
      </c>
      <c r="B6" s="5" t="s">
        <v>164</v>
      </c>
      <c r="C6" s="5" t="n">
        <f aca="false">Settings!$B$14</f>
        <v>1.5</v>
      </c>
      <c r="D6" s="5" t="s">
        <v>165</v>
      </c>
    </row>
    <row r="7" customFormat="false" ht="15" hidden="false" customHeight="false" outlineLevel="0" collapsed="false">
      <c r="A7" s="5" t="s">
        <v>166</v>
      </c>
      <c r="B7" s="5" t="s">
        <v>167</v>
      </c>
      <c r="C7" s="6" t="n">
        <v>0.55</v>
      </c>
      <c r="D7" s="5" t="s">
        <v>168</v>
      </c>
    </row>
    <row r="8" customFormat="false" ht="15" hidden="false" customHeight="false" outlineLevel="0" collapsed="false">
      <c r="A8" s="5" t="s">
        <v>169</v>
      </c>
      <c r="B8" s="5" t="s">
        <v>170</v>
      </c>
      <c r="C8" s="6" t="n">
        <v>0.55</v>
      </c>
      <c r="D8" s="5" t="s">
        <v>168</v>
      </c>
    </row>
    <row r="9" customFormat="false" ht="15" hidden="false" customHeight="false" outlineLevel="0" collapsed="false">
      <c r="A9" s="5" t="s">
        <v>171</v>
      </c>
      <c r="B9" s="5" t="s">
        <v>172</v>
      </c>
      <c r="C9" s="6" t="s">
        <v>139</v>
      </c>
      <c r="D9" s="5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2026-10-22T20:29:52Z</dcterms:created>
  <dc:creator>openpyxl</dc:creator>
  <dc:description/>
  <dc:language>en-US</dc:language>
  <cp:lastModifiedBy/>
  <dcterms:modified xsi:type="dcterms:W3CDTF">2026-10-22T20:29:52Z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