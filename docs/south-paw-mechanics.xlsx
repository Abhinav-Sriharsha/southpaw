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Punches" sheetId="2" state="visible" r:id="rId2"/>
    <sheet xmlns:r="http://schemas.openxmlformats.org/officeDocument/2006/relationships" name="Stamina" sheetId="3" state="visible" r:id="rId3"/>
    <sheet xmlns:r="http://schemas.openxmlformats.org/officeDocument/2006/relationships" name="Guard" sheetId="4" state="visible" r:id="rId4"/>
    <sheet xmlns:r="http://schemas.openxmlformats.org/officeDocument/2006/relationships" name="Knockdowns &amp; Rounds" sheetId="5" state="visible" r:id="rId5"/>
    <sheet xmlns:r="http://schemas.openxmlformats.org/officeDocument/2006/relationships" name="Counters &amp; Range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color theme="1"/>
      <sz val="11"/>
    </font>
    <font>
      <name val="Arial"/>
      <charset val="1"/>
      <family val="0"/>
      <i val="1"/>
      <color rgb="FF555555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sz val="11"/>
    </font>
  </fonts>
  <fills count="4">
    <fill>
      <patternFill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FDE8E6"/>
        <bgColor rgb="FFFFFFFF"/>
      </patternFill>
    </fill>
  </fills>
  <borders count="2">
    <border>
      <left/>
      <right/>
      <top/>
      <bottom/>
      <diagonal/>
    </border>
    <border>
      <left style="thin">
        <color rgb="FFC8CCD4"/>
      </left>
      <right style="thin">
        <color rgb="FFC8CCD4"/>
      </right>
      <top style="thin">
        <color rgb="FFC8CCD4"/>
      </top>
      <bottom style="thin">
        <color rgb="FFC8CC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164" fontId="8" fillId="3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164" fontId="8" fillId="0" borderId="1" applyAlignment="1" pivotButton="0" quotePrefix="0" xfId="0">
      <alignment horizontal="general" vertical="top" wrapText="1"/>
    </xf>
    <xf numFmtId="0" fontId="8" fillId="3" borderId="1" applyAlignment="1" pivotButton="0" quotePrefix="0" xfId="0">
      <alignment horizontal="general" vertical="top" wrapText="1"/>
    </xf>
    <xf numFmtId="0" fontId="9" fillId="3" borderId="1" applyAlignment="1" pivotButton="0" quotePrefix="0" xfId="0">
      <alignment horizontal="general" vertical="top" wrapText="1"/>
    </xf>
    <xf numFmtId="164" fontId="8" fillId="3" borderId="1" applyAlignment="1" pivotButton="0" quotePrefix="0" xfId="0">
      <alignment horizontal="general" vertical="top" wrapText="1"/>
    </xf>
    <xf numFmtId="164" fontId="9" fillId="0" borderId="1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CD4"/>
      <rgbColor rgb="FF808080"/>
      <rgbColor rgb="FF9999FF"/>
      <rgbColor rgb="FF993366"/>
      <rgbColor rgb="FFFDE8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4" customWidth="1" style="13" min="1" max="1"/>
    <col width="10" customWidth="1" style="13" min="2" max="2"/>
    <col width="16" customWidth="1" style="13" min="3" max="3"/>
    <col width="58" customWidth="1" style="13" min="4" max="4"/>
  </cols>
  <sheetData>
    <row r="1" ht="17.35" customHeight="1" s="14">
      <c r="A1" s="15" t="inlineStr">
        <is>
          <t>South Paw 0.46: core numbers</t>
        </is>
      </c>
      <c r="B1" s="16" t="n"/>
      <c r="C1" s="16" t="n"/>
      <c r="D1" s="16" t="n"/>
    </row>
    <row r="2" ht="15" customHeight="1" s="14">
      <c r="A2" s="17" t="inlineStr">
        <is>
          <t>Blue numbers are the tunable values. Every other sheet reads from here, so change a number once and the tables update.</t>
        </is>
      </c>
      <c r="B2" s="16" t="n"/>
      <c r="C2" s="16" t="n"/>
      <c r="D2" s="16" t="n"/>
    </row>
    <row r="3" ht="15" customHeight="1" s="14">
      <c r="A3" s="16" t="n"/>
      <c r="B3" s="16" t="n"/>
      <c r="C3" s="16" t="n"/>
      <c r="D3" s="16" t="n"/>
    </row>
    <row r="4" ht="15" customHeight="1" s="14">
      <c r="A4" s="18" t="inlineStr">
        <is>
          <t>Setting</t>
        </is>
      </c>
      <c r="B4" s="18" t="inlineStr">
        <is>
          <t>Value</t>
        </is>
      </c>
      <c r="C4" s="18" t="inlineStr">
        <is>
          <t>Unit</t>
        </is>
      </c>
      <c r="D4" s="18" t="inlineStr">
        <is>
          <t>Notes</t>
        </is>
      </c>
    </row>
    <row r="5" ht="15" customHeight="1" s="14">
      <c r="A5" s="19" t="inlineStr">
        <is>
          <t>Starting health (each round)</t>
        </is>
      </c>
      <c r="B5" s="20" t="n">
        <v>100</v>
      </c>
      <c r="C5" s="19" t="inlineStr">
        <is>
          <t>points</t>
        </is>
      </c>
      <c r="D5" s="19" t="inlineStr">
        <is>
          <t>Full reset at the start of every round</t>
        </is>
      </c>
    </row>
    <row r="6" ht="15" customHeight="1" s="14">
      <c r="A6" s="19" t="inlineStr">
        <is>
          <t>Starting stamina (each round)</t>
        </is>
      </c>
      <c r="B6" s="20" t="n">
        <v>100</v>
      </c>
      <c r="C6" s="19" t="inlineStr">
        <is>
          <t>points</t>
        </is>
      </c>
      <c r="D6" s="19" t="inlineStr">
        <is>
          <t>Full reset at the start of every round</t>
        </is>
      </c>
    </row>
    <row r="7" ht="15" customHeight="1" s="14">
      <c r="A7" s="19" t="inlineStr">
        <is>
          <t>Stamina refill rate</t>
        </is>
      </c>
      <c r="B7" s="20" t="n">
        <v>25</v>
      </c>
      <c r="C7" s="19" t="inlineStr">
        <is>
          <t>per second</t>
        </is>
      </c>
      <c r="D7" s="19" t="inlineStr">
        <is>
          <t>While not punching</t>
        </is>
      </c>
    </row>
    <row r="8" ht="15" customHeight="1" s="14">
      <c r="A8" s="19" t="inlineStr">
        <is>
          <t>Refill delay after a punch</t>
        </is>
      </c>
      <c r="B8" s="20" t="n">
        <v>0.5</v>
      </c>
      <c r="C8" s="19" t="inlineStr">
        <is>
          <t>seconds</t>
        </is>
      </c>
      <c r="D8" s="19" t="inlineStr">
        <is>
          <t>Refill starts this long after your last punch</t>
        </is>
      </c>
    </row>
    <row r="9" ht="15" customHeight="1" s="14">
      <c r="A9" s="19" t="inlineStr">
        <is>
          <t>Refill while blocking</t>
        </is>
      </c>
      <c r="B9" s="20" t="n">
        <v>0.5</v>
      </c>
      <c r="C9" s="19" t="inlineStr">
        <is>
          <t>x normal rate</t>
        </is>
      </c>
      <c r="D9" s="19" t="inlineStr">
        <is>
          <t>Blocking refills at half speed</t>
        </is>
      </c>
    </row>
    <row r="10" ht="15" customHeight="1" s="14">
      <c r="A10" s="19" t="inlineStr">
        <is>
          <t>Gassed: punches unlock at</t>
        </is>
      </c>
      <c r="B10" s="20" t="n">
        <v>30</v>
      </c>
      <c r="C10" s="19" t="inlineStr">
        <is>
          <t>stamina</t>
        </is>
      </c>
      <c r="D10" s="19" t="inlineStr">
        <is>
          <t>At 0 stamina you cannot punch until the bar reaches this</t>
        </is>
      </c>
    </row>
    <row r="11" ht="26.85" customHeight="1" s="14">
      <c r="A11" s="19" t="inlineStr">
        <is>
          <t>Guard strength (hidden)</t>
        </is>
      </c>
      <c r="B11" s="20" t="n">
        <v>3</v>
      </c>
      <c r="C11" s="19" t="inlineStr">
        <is>
          <t>blocked hits</t>
        </is>
      </c>
      <c r="D11" s="19" t="inlineStr">
        <is>
          <t>Not shown on screen. Normal shot on the guard uses 1, power shot uses 3</t>
        </is>
      </c>
    </row>
    <row r="12" ht="26.85" customHeight="1" s="14">
      <c r="A12" s="19" t="inlineStr">
        <is>
          <t>Guard recovery time (hidden)</t>
        </is>
      </c>
      <c r="B12" s="20" t="n">
        <v>2</v>
      </c>
      <c r="C12" s="19" t="inlineStr">
        <is>
          <t>seconds</t>
        </is>
      </c>
      <c r="D12" s="19" t="inlineStr">
        <is>
          <t>One blocked hit is forgiven after this long with no new blocked hit</t>
        </is>
      </c>
    </row>
    <row r="13" ht="15" customHeight="1" s="14">
      <c r="A13" s="19" t="inlineStr">
        <is>
          <t>Guard break stun</t>
        </is>
      </c>
      <c r="B13" s="20" t="n">
        <v>0.7</v>
      </c>
      <c r="C13" s="19" t="inlineStr">
        <is>
          <t>seconds</t>
        </is>
      </c>
      <c r="D13" s="19" t="inlineStr">
        <is>
          <t>Arms knocked apart, wide open</t>
        </is>
      </c>
    </row>
    <row r="14" ht="15" customHeight="1" s="14">
      <c r="A14" s="19" t="inlineStr">
        <is>
          <t>Counter damage multiplier</t>
        </is>
      </c>
      <c r="B14" s="20" t="n">
        <v>1.5</v>
      </c>
      <c r="C14" s="19" t="inlineStr">
        <is>
          <t>x</t>
        </is>
      </c>
      <c r="D14" s="19" t="inlineStr">
        <is>
          <t>Hit them while they are throwing</t>
        </is>
      </c>
    </row>
    <row r="15" ht="15" customHeight="1" s="14">
      <c r="A15" s="19" t="inlineStr">
        <is>
          <t>Knockdowns allowed per round</t>
        </is>
      </c>
      <c r="B15" s="20" t="n">
        <v>1</v>
      </c>
      <c r="C15" s="19" t="inlineStr">
        <is>
          <t>get-ups</t>
        </is>
      </c>
      <c r="D15" s="19" t="inlineStr">
        <is>
          <t>2nd knockdown in a round is a TKO</t>
        </is>
      </c>
    </row>
    <row r="16" ht="15" customHeight="1" s="14">
      <c r="A16" s="19" t="inlineStr">
        <is>
          <t>Health after 1st knockdown</t>
        </is>
      </c>
      <c r="B16" s="20" t="n">
        <v>40</v>
      </c>
      <c r="C16" s="19" t="inlineStr">
        <is>
          <t>points</t>
        </is>
      </c>
      <c r="D16" s="19" t="inlineStr">
        <is>
          <t>Set by the user</t>
        </is>
      </c>
    </row>
    <row r="17" ht="15" customHeight="1" s="14">
      <c r="A17" s="19" t="inlineStr">
        <is>
          <t>Stamina after 1st knockdown</t>
        </is>
      </c>
      <c r="B17" s="20" t="n">
        <v>50</v>
      </c>
      <c r="C17" s="19" t="inlineStr">
        <is>
          <t>points</t>
        </is>
      </c>
      <c r="D17" s="19" t="inlineStr">
        <is>
          <t>Set by the user</t>
        </is>
      </c>
    </row>
    <row r="18" ht="15" customHeight="1" s="14">
      <c r="A18" s="19" t="inlineStr">
        <is>
          <t>Taps to get up</t>
        </is>
      </c>
      <c r="B18" s="20" t="n">
        <v>12</v>
      </c>
      <c r="C18" s="19" t="inlineStr">
        <is>
          <t>taps</t>
        </is>
      </c>
      <c r="D18" s="19" t="inlineStr">
        <is>
          <t>Mash before the count of 10</t>
        </is>
      </c>
    </row>
    <row r="19" ht="15" customHeight="1" s="14">
      <c r="A19" s="19" t="inlineStr">
        <is>
          <t>Wobbled after getting up</t>
        </is>
      </c>
      <c r="B19" s="20" t="n">
        <v>1.5</v>
      </c>
      <c r="C19" s="19" t="inlineStr">
        <is>
          <t>seconds</t>
        </is>
      </c>
      <c r="D19" s="19" t="inlineStr">
        <is>
          <t>Slower movement, swaying</t>
        </is>
      </c>
    </row>
    <row r="20" ht="15" customHeight="1" s="14">
      <c r="A20" s="19" t="inlineStr">
        <is>
          <t>Round length</t>
        </is>
      </c>
      <c r="B20" s="20" t="n">
        <v>60</v>
      </c>
      <c r="C20" s="19" t="inlineStr">
        <is>
          <t>seconds</t>
        </is>
      </c>
      <c r="D20" s="19" t="n"/>
    </row>
    <row r="21" ht="15" customHeight="1" s="14">
      <c r="A21" s="19" t="inlineStr">
        <is>
          <t>Rounds per match</t>
        </is>
      </c>
      <c r="B21" s="20" t="n">
        <v>3</v>
      </c>
      <c r="C21" s="19" t="inlineStr">
        <is>
          <t>rounds</t>
        </is>
      </c>
      <c r="D21" s="19" t="inlineStr">
        <is>
          <t>Best of 3: first to 2 rounds wins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13" min="1" max="2"/>
    <col width="9" customWidth="1" style="13" min="3" max="4"/>
    <col width="13" customWidth="1" style="13" min="5" max="5"/>
    <col width="12" customWidth="1" style="13" min="6" max="6"/>
    <col width="13" customWidth="1" style="13" min="7" max="7"/>
    <col width="14" customWidth="1" style="13" min="8" max="8"/>
    <col width="11" customWidth="1" style="13" min="9" max="9"/>
    <col width="13" customWidth="1" style="13" min="10" max="10"/>
    <col width="12" customWidth="1" style="13" min="11" max="11"/>
  </cols>
  <sheetData>
    <row r="1" ht="17.35" customHeight="1" s="14">
      <c r="A1" s="15" t="inlineStr">
        <is>
          <t>Punches (0.47)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</row>
    <row r="2" ht="15" customHeight="1" s="14">
      <c r="A2" s="17" t="inlineStr">
        <is>
          <t>Damage only counts on a clean hit. A blocked punch does no damage. It wears down the hidden guard and still costs the puncher stamina.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</row>
    <row r="3" ht="15" customHeight="1" s="14">
      <c r="A3" s="16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</row>
    <row r="4" ht="39.55" customHeight="1" s="14">
      <c r="A4" s="18" t="inlineStr">
        <is>
          <t>Punch</t>
        </is>
      </c>
      <c r="B4" s="18" t="inlineStr">
        <is>
          <t>How to throw</t>
        </is>
      </c>
      <c r="C4" s="18" t="inlineStr">
        <is>
          <t>Target</t>
        </is>
      </c>
      <c r="D4" s="18" t="inlineStr">
        <is>
          <t>Type</t>
        </is>
      </c>
      <c r="E4" s="18" t="inlineStr">
        <is>
          <t>Health damage (clean)</t>
        </is>
      </c>
      <c r="F4" s="18" t="inlineStr">
        <is>
          <t>Your stamina cost</t>
        </is>
      </c>
      <c r="G4" s="18" t="inlineStr">
        <is>
          <t>Guard wear if blocked (hidden)</t>
        </is>
      </c>
      <c r="H4" s="18" t="inlineStr">
        <is>
          <t>Opponent stamina drained</t>
        </is>
      </c>
      <c r="I4" s="18" t="inlineStr">
        <is>
          <t>Counter damage</t>
        </is>
      </c>
      <c r="J4" s="18" t="inlineStr">
        <is>
          <t>Hits to empty full health</t>
        </is>
      </c>
      <c r="K4" s="18" t="inlineStr">
        <is>
          <t>Punches on a full tank</t>
        </is>
      </c>
    </row>
    <row r="5" ht="15" customHeight="1" s="14">
      <c r="A5" s="19" t="inlineStr">
        <is>
          <t>Jab</t>
        </is>
      </c>
      <c r="B5" s="19" t="inlineStr">
        <is>
          <t>Left tap</t>
        </is>
      </c>
      <c r="C5" s="19" t="inlineStr">
        <is>
          <t>Head</t>
        </is>
      </c>
      <c r="D5" s="19" t="inlineStr">
        <is>
          <t>Normal</t>
        </is>
      </c>
      <c r="E5" s="20" t="n">
        <v>5</v>
      </c>
      <c r="F5" s="20" t="n">
        <v>8</v>
      </c>
      <c r="G5" s="20" t="n">
        <v>1</v>
      </c>
      <c r="H5" s="20" t="n">
        <v>0</v>
      </c>
      <c r="I5" s="21">
        <f>E5*Settings!$B$14</f>
        <v/>
      </c>
      <c r="J5" s="19">
        <f>ROUNDUP(Settings!$B$5/E5,0)</f>
        <v/>
      </c>
      <c r="K5" s="19">
        <f>INT(Settings!$B$6/F5)</f>
        <v/>
      </c>
    </row>
    <row r="6" ht="15" customHeight="1" s="14">
      <c r="A6" s="19" t="inlineStr">
        <is>
          <t>Cross</t>
        </is>
      </c>
      <c r="B6" s="19" t="inlineStr">
        <is>
          <t>Right tap</t>
        </is>
      </c>
      <c r="C6" s="19" t="inlineStr">
        <is>
          <t>Head</t>
        </is>
      </c>
      <c r="D6" s="19" t="inlineStr">
        <is>
          <t>Normal</t>
        </is>
      </c>
      <c r="E6" s="20" t="n">
        <v>7</v>
      </c>
      <c r="F6" s="20" t="n">
        <v>10</v>
      </c>
      <c r="G6" s="20" t="n">
        <v>1</v>
      </c>
      <c r="H6" s="20" t="n">
        <v>0</v>
      </c>
      <c r="I6" s="21">
        <f>E6*Settings!$B$14</f>
        <v/>
      </c>
      <c r="J6" s="19">
        <f>ROUNDUP(Settings!$B$5/E6,0)</f>
        <v/>
      </c>
      <c r="K6" s="19">
        <f>INT(Settings!$B$6/F6)</f>
        <v/>
      </c>
    </row>
    <row r="7" ht="15" customHeight="1" s="14">
      <c r="A7" s="19" t="inlineStr">
        <is>
          <t>Hook (left or right)</t>
        </is>
      </c>
      <c r="B7" s="19" t="inlineStr">
        <is>
          <t>Hold</t>
        </is>
      </c>
      <c r="C7" s="19" t="inlineStr">
        <is>
          <t>Head</t>
        </is>
      </c>
      <c r="D7" s="19" t="inlineStr">
        <is>
          <t>Normal</t>
        </is>
      </c>
      <c r="E7" s="20" t="n">
        <v>10</v>
      </c>
      <c r="F7" s="20" t="n">
        <v>15</v>
      </c>
      <c r="G7" s="20" t="n">
        <v>1</v>
      </c>
      <c r="H7" s="20" t="n">
        <v>0</v>
      </c>
      <c r="I7" s="21">
        <f>E7*Settings!$B$14</f>
        <v/>
      </c>
      <c r="J7" s="19">
        <f>ROUNDUP(Settings!$B$5/E7,0)</f>
        <v/>
      </c>
      <c r="K7" s="19">
        <f>INT(Settings!$B$6/F7)</f>
        <v/>
      </c>
    </row>
    <row r="8" ht="15" customHeight="1" s="14">
      <c r="A8" s="19" t="inlineStr">
        <is>
          <t>Uppercut</t>
        </is>
      </c>
      <c r="B8" s="19" t="inlineStr">
        <is>
          <t>Stick up + tap</t>
        </is>
      </c>
      <c r="C8" s="19" t="inlineStr">
        <is>
          <t>Head</t>
        </is>
      </c>
      <c r="D8" s="19" t="inlineStr">
        <is>
          <t>Normal</t>
        </is>
      </c>
      <c r="E8" s="20" t="n">
        <v>12</v>
      </c>
      <c r="F8" s="20" t="n">
        <v>18</v>
      </c>
      <c r="G8" s="20" t="n">
        <v>1</v>
      </c>
      <c r="H8" s="20" t="n">
        <v>0</v>
      </c>
      <c r="I8" s="21">
        <f>E8*Settings!$B$14</f>
        <v/>
      </c>
      <c r="J8" s="19">
        <f>ROUNDUP(Settings!$B$5/E8,0)</f>
        <v/>
      </c>
      <c r="K8" s="19">
        <f>INT(Settings!$B$6/F8)</f>
        <v/>
      </c>
    </row>
    <row r="9" ht="15" customHeight="1" s="14">
      <c r="A9" s="19" t="inlineStr">
        <is>
          <t>Body jab</t>
        </is>
      </c>
      <c r="B9" s="19" t="inlineStr">
        <is>
          <t>Stick down + Left tap</t>
        </is>
      </c>
      <c r="C9" s="19" t="inlineStr">
        <is>
          <t>Body</t>
        </is>
      </c>
      <c r="D9" s="19" t="inlineStr">
        <is>
          <t>Normal</t>
        </is>
      </c>
      <c r="E9" s="20" t="n">
        <v>6</v>
      </c>
      <c r="F9" s="20" t="n">
        <v>9</v>
      </c>
      <c r="G9" s="20" t="n">
        <v>1</v>
      </c>
      <c r="H9" s="20" t="n">
        <v>0</v>
      </c>
      <c r="I9" s="21">
        <f>E9*Settings!$B$14</f>
        <v/>
      </c>
      <c r="J9" s="19">
        <f>ROUNDUP(Settings!$B$5/E9,0)</f>
        <v/>
      </c>
      <c r="K9" s="19">
        <f>INT(Settings!$B$6/F9)</f>
        <v/>
      </c>
    </row>
    <row r="10" ht="15" customHeight="1" s="14">
      <c r="A10" s="19" t="inlineStr">
        <is>
          <t>Body cross</t>
        </is>
      </c>
      <c r="B10" s="19" t="inlineStr">
        <is>
          <t>Stick down + Right tap</t>
        </is>
      </c>
      <c r="C10" s="19" t="inlineStr">
        <is>
          <t>Body</t>
        </is>
      </c>
      <c r="D10" s="19" t="inlineStr">
        <is>
          <t>Normal</t>
        </is>
      </c>
      <c r="E10" s="20" t="n">
        <v>6</v>
      </c>
      <c r="F10" s="20" t="n">
        <v>9</v>
      </c>
      <c r="G10" s="20" t="n">
        <v>1</v>
      </c>
      <c r="H10" s="20" t="n">
        <v>0</v>
      </c>
      <c r="I10" s="21">
        <f>E10*Settings!$B$14</f>
        <v/>
      </c>
      <c r="J10" s="19">
        <f>ROUNDUP(Settings!$B$5/E10,0)</f>
        <v/>
      </c>
      <c r="K10" s="19">
        <f>INT(Settings!$B$6/F10)</f>
        <v/>
      </c>
    </row>
    <row r="11" ht="15" customHeight="1" s="14">
      <c r="A11" s="19" t="inlineStr">
        <is>
          <t>Body hook (left or right)</t>
        </is>
      </c>
      <c r="B11" s="19" t="inlineStr">
        <is>
          <t>Stick down + hold</t>
        </is>
      </c>
      <c r="C11" s="19" t="inlineStr">
        <is>
          <t>Body</t>
        </is>
      </c>
      <c r="D11" s="19" t="inlineStr">
        <is>
          <t>Normal</t>
        </is>
      </c>
      <c r="E11" s="20" t="n">
        <v>10</v>
      </c>
      <c r="F11" s="20" t="n">
        <v>16</v>
      </c>
      <c r="G11" s="20" t="n">
        <v>1</v>
      </c>
      <c r="H11" s="20" t="n">
        <v>15</v>
      </c>
      <c r="I11" s="21">
        <f>E11*Settings!$B$14</f>
        <v/>
      </c>
      <c r="J11" s="19">
        <f>ROUNDUP(Settings!$B$5/E11,0)</f>
        <v/>
      </c>
      <c r="K11" s="19">
        <f>INT(Settings!$B$6/F11)</f>
        <v/>
      </c>
    </row>
    <row r="12" ht="15" customHeight="1" s="14">
      <c r="A12" s="22" t="inlineStr">
        <is>
          <t>Power uppercut</t>
        </is>
      </c>
      <c r="B12" s="22" t="inlineStr">
        <is>
          <t>Stick up + hold</t>
        </is>
      </c>
      <c r="C12" s="22" t="inlineStr">
        <is>
          <t>Head</t>
        </is>
      </c>
      <c r="D12" s="22" t="inlineStr">
        <is>
          <t>Power</t>
        </is>
      </c>
      <c r="E12" s="23" t="n">
        <v>18</v>
      </c>
      <c r="F12" s="23" t="n">
        <v>28</v>
      </c>
      <c r="G12" s="23" t="n">
        <v>3</v>
      </c>
      <c r="H12" s="23" t="n">
        <v>0</v>
      </c>
      <c r="I12" s="24">
        <f>E12*Settings!$B$14</f>
        <v/>
      </c>
      <c r="J12" s="22">
        <f>ROUNDUP(Settings!$B$5/E12,0)</f>
        <v/>
      </c>
      <c r="K12" s="22">
        <f>INT(Settings!$B$6/F12)</f>
        <v/>
      </c>
    </row>
    <row r="13" ht="15" customHeight="1" s="14">
      <c r="A13" s="22" t="inlineStr">
        <is>
          <t>Long right hook</t>
        </is>
      </c>
      <c r="B13" s="22" t="inlineStr">
        <is>
          <t>Right hold from range</t>
        </is>
      </c>
      <c r="C13" s="22" t="inlineStr">
        <is>
          <t>Head</t>
        </is>
      </c>
      <c r="D13" s="22" t="inlineStr">
        <is>
          <t>Power</t>
        </is>
      </c>
      <c r="E13" s="23" t="n">
        <v>15</v>
      </c>
      <c r="F13" s="23" t="n">
        <v>24</v>
      </c>
      <c r="G13" s="23" t="n">
        <v>3</v>
      </c>
      <c r="H13" s="23" t="n">
        <v>0</v>
      </c>
      <c r="I13" s="24">
        <f>E13*Settings!$B$14</f>
        <v/>
      </c>
      <c r="J13" s="22">
        <f>ROUNDUP(Settings!$B$5/E13,0)</f>
        <v/>
      </c>
      <c r="K13" s="22">
        <f>INT(Settings!$B$6/F13)</f>
        <v/>
      </c>
    </row>
    <row r="14" ht="15" customHeight="1" s="14">
      <c r="A14" s="16" t="n"/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</row>
    <row r="15" ht="15" customHeight="1" s="14">
      <c r="A15" s="17" t="inlineStr">
        <is>
          <t>Keyboard: Left = J, Right = K, W/S work as stick up/down, Space = block, Shift = dodge.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</row>
    <row r="16" ht="15" customHeight="1" s="14">
      <c r="A16" s="17" t="inlineStr">
        <is>
          <t>Power shots (pink rows) break a guard in one hit; normal shots take 3 in a row. Body hooks also drain the opponent's stamina, which sets up the liver shot.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62" customWidth="1" style="13" min="2" max="2"/>
    <col width="10" customWidth="1" style="13" min="3" max="3"/>
    <col width="18" customWidth="1" style="13" min="4" max="4"/>
  </cols>
  <sheetData>
    <row r="1" ht="17.35" customHeight="1" s="14">
      <c r="A1" s="15" t="inlineStr">
        <is>
          <t>Stamina</t>
        </is>
      </c>
      <c r="B1" s="16" t="n"/>
      <c r="C1" s="16" t="n"/>
      <c r="D1" s="16" t="n"/>
    </row>
    <row r="2" ht="15" customHeight="1" s="14">
      <c r="A2" s="17" t="inlineStr">
        <is>
          <t>Punching spends it, resting refills it fast. Run it dry and you are gassed.</t>
        </is>
      </c>
      <c r="B2" s="16" t="n"/>
      <c r="C2" s="16" t="n"/>
      <c r="D2" s="16" t="n"/>
    </row>
    <row r="3" ht="15" customHeight="1" s="14">
      <c r="A3" s="16" t="n"/>
      <c r="B3" s="16" t="n"/>
      <c r="C3" s="16" t="n"/>
      <c r="D3" s="16" t="n"/>
    </row>
    <row r="4" ht="15" customHeight="1" s="14">
      <c r="A4" s="18" t="inlineStr">
        <is>
          <t>Situation</t>
        </is>
      </c>
      <c r="B4" s="18" t="inlineStr">
        <is>
          <t>What happens</t>
        </is>
      </c>
      <c r="C4" s="18" t="inlineStr">
        <is>
          <t>Value</t>
        </is>
      </c>
      <c r="D4" s="18" t="inlineStr">
        <is>
          <t>Unit</t>
        </is>
      </c>
    </row>
    <row r="5" ht="15" customHeight="1" s="14">
      <c r="A5" s="19" t="inlineStr">
        <is>
          <t>Each punch</t>
        </is>
      </c>
      <c r="B5" s="19" t="inlineStr">
        <is>
          <t>Spends its stamina cost (see Punches)</t>
        </is>
      </c>
      <c r="C5" s="25" t="n"/>
      <c r="D5" s="19" t="n"/>
    </row>
    <row r="6" ht="15" customHeight="1" s="14">
      <c r="A6" s="19" t="inlineStr">
        <is>
          <t>Not punching</t>
        </is>
      </c>
      <c r="B6" s="19" t="inlineStr">
        <is>
          <t>Refills at the refill rate after the delay</t>
        </is>
      </c>
      <c r="C6" s="21">
        <f>Settings!$B$7</f>
        <v/>
      </c>
      <c r="D6" s="19" t="inlineStr">
        <is>
          <t>per second</t>
        </is>
      </c>
    </row>
    <row r="7" ht="15" customHeight="1" s="14">
      <c r="A7" s="19" t="inlineStr">
        <is>
          <t>Blocking</t>
        </is>
      </c>
      <c r="B7" s="19" t="inlineStr">
        <is>
          <t>Refills at the blocking rate</t>
        </is>
      </c>
      <c r="C7" s="21">
        <f>Settings!$B$7*Settings!$B$9</f>
        <v/>
      </c>
      <c r="D7" s="19" t="inlineStr">
        <is>
          <t>per second</t>
        </is>
      </c>
    </row>
    <row r="8" ht="15" customHeight="1" s="14">
      <c r="A8" s="19" t="inlineStr">
        <is>
          <t>Empty to full</t>
        </is>
      </c>
      <c r="B8" s="19" t="inlineStr">
        <is>
          <t>Time to refill a full bar from zero</t>
        </is>
      </c>
      <c r="C8" s="21">
        <f>Settings!$B$6/Settings!$B$7</f>
        <v/>
      </c>
      <c r="D8" s="19" t="inlineStr">
        <is>
          <t>seconds</t>
        </is>
      </c>
    </row>
    <row r="9" ht="26.85" customHeight="1" s="14">
      <c r="A9" s="19" t="inlineStr">
        <is>
          <t>Gassed (stamina 0)</t>
        </is>
      </c>
      <c r="B9" s="19" t="inlineStr">
        <is>
          <t>Cannot punch until the bar reaches the unlock level. Can still block and move. Bar flashes red, hands drop.</t>
        </is>
      </c>
      <c r="C9" s="21">
        <f>Settings!$B$10/Settings!$B$7</f>
        <v/>
      </c>
      <c r="D9" s="19" t="inlineStr">
        <is>
          <t>seconds locked out</t>
        </is>
      </c>
    </row>
    <row r="10" ht="15" customHeight="1" s="14">
      <c r="A10" s="19" t="inlineStr">
        <is>
          <t>Hit by a body hook</t>
        </is>
      </c>
      <c r="B10" s="19" t="inlineStr">
        <is>
          <t>Loses the body hook drain on top of health damage</t>
        </is>
      </c>
      <c r="C10" s="21">
        <f>Punches!H11</f>
        <v/>
      </c>
      <c r="D10" s="19" t="inlineStr">
        <is>
          <t>stamina</t>
        </is>
      </c>
    </row>
    <row r="11" ht="15" customHeight="1" s="14">
      <c r="A11" s="19" t="inlineStr">
        <is>
          <t>Dodge</t>
        </is>
      </c>
      <c r="B11" s="19" t="inlineStr">
        <is>
          <t>Costs a small amount, more if spammed</t>
        </is>
      </c>
      <c r="C11" s="25" t="n">
        <v>6</v>
      </c>
      <c r="D11" s="19" t="inlineStr">
        <is>
          <t>stamina</t>
        </is>
      </c>
    </row>
    <row r="12" ht="15" customHeight="1" s="14">
      <c r="A12" s="19" t="inlineStr">
        <is>
          <t>Finished taunt</t>
        </is>
      </c>
      <c r="B12" s="19" t="inlineStr">
        <is>
          <t>Gives some back</t>
        </is>
      </c>
      <c r="C12" s="25" t="n">
        <v>10</v>
      </c>
      <c r="D12" s="19" t="inlineStr">
        <is>
          <t>stamina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62" customWidth="1" style="13" min="2" max="2"/>
    <col width="10" customWidth="1" style="13" min="3" max="3"/>
  </cols>
  <sheetData>
    <row r="1" ht="17.35" customHeight="1" s="14">
      <c r="A1" s="15" t="inlineStr">
        <is>
          <t>Blocking and guard break</t>
        </is>
      </c>
      <c r="B1" s="16" t="n"/>
      <c r="C1" s="16" t="n"/>
    </row>
    <row r="2" ht="15" customHeight="1" s="14">
      <c r="A2" s="17" t="inlineStr">
        <is>
          <t>The guard count is hidden: no number, bar or icon on screen. There is one block: hold the Block button and it stops every punch, head or body.</t>
        </is>
      </c>
      <c r="B2" s="16" t="n"/>
      <c r="C2" s="16" t="n"/>
    </row>
    <row r="3" ht="15" customHeight="1" s="14">
      <c r="A3" s="16" t="n"/>
      <c r="B3" s="16" t="n"/>
      <c r="C3" s="16" t="n"/>
    </row>
    <row r="4" ht="15" customHeight="1" s="14">
      <c r="A4" s="18" t="inlineStr">
        <is>
          <t>Rule</t>
        </is>
      </c>
      <c r="B4" s="18" t="inlineStr">
        <is>
          <t>What happens</t>
        </is>
      </c>
      <c r="C4" s="18" t="inlineStr">
        <is>
          <t>Value</t>
        </is>
      </c>
    </row>
    <row r="5" ht="26.85" customHeight="1" s="14">
      <c r="A5" s="19" t="inlineStr">
        <is>
          <t>What the player sees</t>
        </is>
      </c>
      <c r="B5" s="19" t="inlineStr">
        <is>
          <t>Block animations only, then the break: arms knocked apart and a GUARD BREAK! pop</t>
        </is>
      </c>
      <c r="C5" s="19" t="n"/>
    </row>
    <row r="6" ht="15" customHeight="1" s="14">
      <c r="A6" s="19" t="inlineStr">
        <is>
          <t>Normal shot on the guard</t>
        </is>
      </c>
      <c r="B6" s="19" t="inlineStr">
        <is>
          <t>Blocked, no damage. Uses 1 of the hidden guard strength</t>
        </is>
      </c>
      <c r="C6" s="19">
        <f>Punches!G5</f>
        <v/>
      </c>
    </row>
    <row r="7" ht="15" customHeight="1" s="14">
      <c r="A7" s="19" t="inlineStr">
        <is>
          <t>Power shot on the guard</t>
        </is>
      </c>
      <c r="B7" s="19" t="inlineStr">
        <is>
          <t>Breaks the guard in one hit</t>
        </is>
      </c>
      <c r="C7" s="19">
        <f>Punches!G12</f>
        <v/>
      </c>
    </row>
    <row r="8" ht="15" customHeight="1" s="14">
      <c r="A8" s="19" t="inlineStr">
        <is>
          <t>Normal shots to break a full guard</t>
        </is>
      </c>
      <c r="B8" s="19" t="n"/>
      <c r="C8" s="19">
        <f>Settings!$B$11/Punches!G5</f>
        <v/>
      </c>
    </row>
    <row r="9" ht="15" customHeight="1" s="14">
      <c r="A9" s="19" t="inlineStr">
        <is>
          <t>Power shots to break a full guard</t>
        </is>
      </c>
      <c r="B9" s="19" t="n"/>
      <c r="C9" s="19">
        <f>ROUNDUP(Settings!$B$11/Punches!G12,0)</f>
        <v/>
      </c>
    </row>
    <row r="10" ht="26.85" customHeight="1" s="14">
      <c r="A10" s="19" t="inlineStr">
        <is>
          <t>Guard break</t>
        </is>
      </c>
      <c r="B10" s="19" t="inlineStr">
        <is>
          <t>Arms knocked apart, stunned and wide open. Next punch lands clean.</t>
        </is>
      </c>
      <c r="C10" s="19">
        <f>Settings!$B$13</f>
        <v/>
      </c>
    </row>
    <row r="11" ht="26.85" customHeight="1" s="14">
      <c r="A11" s="19" t="inlineStr">
        <is>
          <t>Guard recovery</t>
        </is>
      </c>
      <c r="B11" s="19" t="inlineStr">
        <is>
          <t>One blocked hit is forgiven after this many seconds without a new one</t>
        </is>
      </c>
      <c r="C11" s="19">
        <f>Settings!$B$12</f>
        <v/>
      </c>
    </row>
    <row r="12" ht="15" customHeight="1" s="14">
      <c r="A12" s="19" t="inlineStr">
        <is>
          <t>Which punches it stops</t>
        </is>
      </c>
      <c r="B12" s="19" t="inlineStr">
        <is>
          <t>All of them: jabs, hooks, uppercuts and body shots</t>
        </is>
      </c>
      <c r="C12" s="19" t="n"/>
    </row>
    <row r="13" ht="15" customHeight="1" s="14">
      <c r="A13" s="19" t="inlineStr">
        <is>
          <t>Blocking costs the puncher nothing</t>
        </is>
      </c>
      <c r="B13" s="19" t="inlineStr">
        <is>
          <t>A blocked punch never hurts or staggers the man who threw it; only the guard wears down</t>
        </is>
      </c>
      <c r="C13" s="1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13" min="1" max="1"/>
    <col width="44" customWidth="1" style="13" min="2" max="2"/>
    <col width="26" customWidth="1" style="13" min="3" max="3"/>
    <col width="13" customWidth="1" style="13" min="4" max="5"/>
    <col width="30" customWidth="1" style="13" min="6" max="6"/>
  </cols>
  <sheetData>
    <row r="1" ht="17.35" customHeight="1" s="14">
      <c r="A1" s="15" t="inlineStr">
        <is>
          <t>Knockdowns and rounds</t>
        </is>
      </c>
      <c r="B1" s="16" t="n"/>
      <c r="C1" s="16" t="n"/>
      <c r="D1" s="16" t="n"/>
      <c r="E1" s="16" t="n"/>
      <c r="F1" s="16" t="n"/>
    </row>
    <row r="2" ht="15" customHeight="1" s="14">
      <c r="A2" s="17" t="inlineStr">
        <is>
          <t>Only one get-up per round. Everything resets at the next round, and the rules are identical in every round.</t>
        </is>
      </c>
      <c r="B2" s="16" t="n"/>
      <c r="C2" s="16" t="n"/>
      <c r="D2" s="16" t="n"/>
      <c r="E2" s="16" t="n"/>
      <c r="F2" s="16" t="n"/>
    </row>
    <row r="3" ht="15" customHeight="1" s="14">
      <c r="A3" s="16" t="n"/>
      <c r="B3" s="16" t="n"/>
      <c r="C3" s="16" t="n"/>
      <c r="D3" s="16" t="n"/>
      <c r="E3" s="16" t="n"/>
      <c r="F3" s="16" t="n"/>
    </row>
    <row r="4" ht="26.85" customHeight="1" s="14">
      <c r="A4" s="18" t="inlineStr">
        <is>
          <t>Event</t>
        </is>
      </c>
      <c r="B4" s="18" t="inlineStr">
        <is>
          <t>Trigger</t>
        </is>
      </c>
      <c r="C4" s="18" t="inlineStr">
        <is>
          <t>Result</t>
        </is>
      </c>
      <c r="D4" s="18" t="inlineStr">
        <is>
          <t>Health after</t>
        </is>
      </c>
      <c r="E4" s="18" t="inlineStr">
        <is>
          <t>Stamina after</t>
        </is>
      </c>
      <c r="F4" s="18" t="inlineStr">
        <is>
          <t>Also</t>
        </is>
      </c>
    </row>
    <row r="5" ht="26.85" customHeight="1" s="14">
      <c r="A5" s="19" t="inlineStr">
        <is>
          <t>1st knockdown</t>
        </is>
      </c>
      <c r="B5" s="19" t="inlineStr">
        <is>
          <t>Health reaches 0</t>
        </is>
      </c>
      <c r="C5" s="19" t="inlineStr">
        <is>
          <t>Mash to get up before 10</t>
        </is>
      </c>
      <c r="D5" s="19">
        <f>Settings!$B$16</f>
        <v/>
      </c>
      <c r="E5" s="19">
        <f>Settings!$B$17</f>
        <v/>
      </c>
      <c r="F5" s="19" t="inlineStr">
        <is>
          <t>Guard restored, wobbled for 1.5 s</t>
        </is>
      </c>
    </row>
    <row r="6" ht="15" customHeight="1" s="14">
      <c r="A6" s="19" t="inlineStr">
        <is>
          <t>2nd knockdown</t>
        </is>
      </c>
      <c r="B6" s="19" t="inlineStr">
        <is>
          <t>Health reaches 0 again in the same round</t>
        </is>
      </c>
      <c r="C6" s="19" t="inlineStr">
        <is>
          <t>TKO: the round is lost</t>
        </is>
      </c>
      <c r="D6" s="19" t="inlineStr">
        <is>
          <t>-</t>
        </is>
      </c>
      <c r="E6" s="19" t="inlineStr">
        <is>
          <t>-</t>
        </is>
      </c>
      <c r="F6" s="19" t="inlineStr">
        <is>
          <t>Round ends</t>
        </is>
      </c>
    </row>
    <row r="7" ht="52.2" customHeight="1" s="14">
      <c r="A7" s="19" t="inlineStr">
        <is>
          <t>Liver shot</t>
        </is>
      </c>
      <c r="B7" s="19" t="inlineStr">
        <is>
          <t>Left body hook lands clean while the opponent is gassed</t>
        </is>
      </c>
      <c r="C7" s="19" t="inlineStr">
        <is>
          <t>Not a knockdown: no count, no knockdown added</t>
        </is>
      </c>
      <c r="D7" s="19" t="inlineStr">
        <is>
          <t>Unchanged (only the hook's own damage)</t>
        </is>
      </c>
      <c r="E7" s="19">
        <f>Settings!$B$10</f>
        <v/>
      </c>
      <c r="F7" s="19" t="inlineStr">
        <is>
          <t>Drops to one knee for about 3 s and gets up on his own</t>
        </is>
      </c>
    </row>
    <row r="8" ht="15" customHeight="1" s="14">
      <c r="A8" s="19" t="inlineStr">
        <is>
          <t>Counted out</t>
        </is>
      </c>
      <c r="B8" s="19" t="inlineStr">
        <is>
          <t>Did not get up before 10</t>
        </is>
      </c>
      <c r="C8" s="19" t="inlineStr">
        <is>
          <t>KO: the round is lost</t>
        </is>
      </c>
      <c r="D8" s="19" t="inlineStr">
        <is>
          <t>-</t>
        </is>
      </c>
      <c r="E8" s="19" t="inlineStr">
        <is>
          <t>-</t>
        </is>
      </c>
      <c r="F8" s="19" t="n"/>
    </row>
    <row r="9" ht="15" customHeight="1" s="14">
      <c r="A9" s="16" t="n"/>
      <c r="B9" s="16" t="n"/>
      <c r="C9" s="16" t="n"/>
      <c r="D9" s="16" t="n"/>
      <c r="E9" s="16" t="n"/>
      <c r="F9" s="16" t="n"/>
    </row>
    <row r="10" ht="15" customHeight="1" s="14">
      <c r="A10" s="26" t="inlineStr">
        <is>
          <t>Rounds</t>
        </is>
      </c>
      <c r="B10" s="16" t="n"/>
      <c r="C10" s="16" t="n"/>
      <c r="D10" s="16" t="n"/>
      <c r="E10" s="16" t="n"/>
      <c r="F10" s="16" t="n"/>
    </row>
    <row r="11" ht="15" customHeight="1" s="14">
      <c r="A11" s="18" t="inlineStr">
        <is>
          <t>Rule</t>
        </is>
      </c>
      <c r="B11" s="18" t="inlineStr">
        <is>
          <t>Value</t>
        </is>
      </c>
      <c r="C11" s="18" t="inlineStr">
        <is>
          <t>Unit</t>
        </is>
      </c>
      <c r="D11" s="16" t="n"/>
      <c r="E11" s="16" t="n"/>
      <c r="F11" s="16" t="n"/>
    </row>
    <row r="12" ht="15" customHeight="1" s="14">
      <c r="A12" s="19" t="inlineStr">
        <is>
          <t>Round length</t>
        </is>
      </c>
      <c r="B12" s="19">
        <f>Settings!$B$20</f>
        <v/>
      </c>
      <c r="C12" s="19" t="inlineStr">
        <is>
          <t>seconds</t>
        </is>
      </c>
      <c r="D12" s="16" t="n"/>
      <c r="E12" s="16" t="n"/>
      <c r="F12" s="16" t="n"/>
    </row>
    <row r="13" ht="15" customHeight="1" s="14">
      <c r="A13" s="19" t="inlineStr">
        <is>
          <t>Rounds per match</t>
        </is>
      </c>
      <c r="B13" s="19">
        <f>Settings!$B$21</f>
        <v/>
      </c>
      <c r="C13" s="19" t="inlineStr">
        <is>
          <t>best of 3</t>
        </is>
      </c>
      <c r="D13" s="16" t="n"/>
      <c r="E13" s="16" t="n"/>
      <c r="F13" s="16" t="n"/>
    </row>
    <row r="14" ht="15" customHeight="1" s="14">
      <c r="A14" s="19" t="inlineStr">
        <is>
          <t>Rounds needed to win</t>
        </is>
      </c>
      <c r="B14" s="19">
        <f>INT(Settings!$B$21/2)+1</f>
        <v/>
      </c>
      <c r="C14" s="19" t="inlineStr">
        <is>
          <t>rounds</t>
        </is>
      </c>
      <c r="D14" s="16" t="n"/>
      <c r="E14" s="16" t="n"/>
      <c r="F14" s="16" t="n"/>
    </row>
    <row r="15" ht="26.85" customHeight="1" s="14">
      <c r="A15" s="19" t="inlineStr">
        <is>
          <t>Win a round</t>
        </is>
      </c>
      <c r="B15" s="19" t="inlineStr">
        <is>
          <t>By KO or TKO, otherwise by more damage dealt</t>
        </is>
      </c>
      <c r="C15" s="19" t="n"/>
      <c r="D15" s="16" t="n"/>
      <c r="E15" s="16" t="n"/>
      <c r="F15" s="16" t="n"/>
    </row>
    <row r="16" ht="26.85" customHeight="1" s="14">
      <c r="A16" s="19" t="inlineStr">
        <is>
          <t>Start of each round</t>
        </is>
      </c>
      <c r="B16" s="19" t="inlineStr">
        <is>
          <t>Health, stamina, guard and knockdowns all reset</t>
        </is>
      </c>
      <c r="C16" s="19" t="n"/>
      <c r="D16" s="16" t="n"/>
      <c r="E16" s="16" t="n"/>
      <c r="F16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D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13" min="1" max="1"/>
    <col width="58" customWidth="1" style="13" min="2" max="2"/>
    <col width="10" customWidth="1" style="13" min="3" max="3"/>
    <col width="54" customWidth="1" style="13" min="4" max="4"/>
  </cols>
  <sheetData>
    <row r="1" ht="17.35" customHeight="1" s="14">
      <c r="A1" s="15" t="inlineStr">
        <is>
          <t>Counters, dodges and range</t>
        </is>
      </c>
      <c r="B1" s="16" t="n"/>
      <c r="C1" s="16" t="n"/>
      <c r="D1" s="16" t="n"/>
    </row>
    <row r="2" ht="15" customHeight="1" s="14">
      <c r="A2" s="17" t="inlineStr">
        <is>
          <t>The only things that change damage. Everything else is hidden from the player.</t>
        </is>
      </c>
      <c r="B2" s="16" t="n"/>
      <c r="C2" s="16" t="n"/>
      <c r="D2" s="16" t="n"/>
    </row>
    <row r="3" ht="15" customHeight="1" s="14">
      <c r="A3" s="16" t="n"/>
      <c r="B3" s="16" t="n"/>
      <c r="C3" s="16" t="n"/>
      <c r="D3" s="16" t="n"/>
    </row>
    <row r="4" ht="26.85" customHeight="1" s="14">
      <c r="A4" s="18" t="inlineStr">
        <is>
          <t>Situation</t>
        </is>
      </c>
      <c r="B4" s="18" t="inlineStr">
        <is>
          <t>When</t>
        </is>
      </c>
      <c r="C4" s="18" t="inlineStr">
        <is>
          <t>Damage x</t>
        </is>
      </c>
      <c r="D4" s="18" t="inlineStr">
        <is>
          <t>Notes</t>
        </is>
      </c>
    </row>
    <row r="5" ht="15" customHeight="1" s="14">
      <c r="A5" s="19" t="inlineStr">
        <is>
          <t>Counter</t>
        </is>
      </c>
      <c r="B5" s="19" t="inlineStr">
        <is>
          <t>Your punch lands while they are throwing</t>
        </is>
      </c>
      <c r="C5" s="19">
        <f>Settings!$B$14</f>
        <v/>
      </c>
      <c r="D5" s="19" t="inlineStr">
        <is>
          <t>Slow-motion moment, COUNTER! pop</t>
        </is>
      </c>
    </row>
    <row r="6" ht="26.85" customHeight="1" s="14">
      <c r="A6" s="19" t="inlineStr">
        <is>
          <t>Dodge counter</t>
        </is>
      </c>
      <c r="B6" s="19" t="inlineStr">
        <is>
          <t>You dodge a punch at the right moment, your next punch is a counter</t>
        </is>
      </c>
      <c r="C6" s="19">
        <f>Settings!$B$14</f>
        <v/>
      </c>
      <c r="D6" s="19" t="inlineStr">
        <is>
          <t>Slip beats straights, duck beats straights and hooks, lean back beats head shots</t>
        </is>
      </c>
    </row>
    <row r="7" ht="15" customHeight="1" s="14">
      <c r="A7" s="19" t="inlineStr">
        <is>
          <t>Too close (smothered)</t>
        </is>
      </c>
      <c r="B7" s="19" t="inlineStr">
        <is>
          <t>Punch thrown from too close</t>
        </is>
      </c>
      <c r="C7" s="20" t="n">
        <v>0.55</v>
      </c>
      <c r="D7" s="19" t="inlineStr">
        <is>
          <t>Felt, not shown</t>
        </is>
      </c>
    </row>
    <row r="8" ht="15" customHeight="1" s="14">
      <c r="A8" s="19" t="inlineStr">
        <is>
          <t>Fingertip range</t>
        </is>
      </c>
      <c r="B8" s="19" t="inlineStr">
        <is>
          <t>Punch only just reaches</t>
        </is>
      </c>
      <c r="C8" s="20" t="n">
        <v>0.55</v>
      </c>
      <c r="D8" s="19" t="inlineStr">
        <is>
          <t>Felt, not shown</t>
        </is>
      </c>
    </row>
    <row r="9" ht="15" customHeight="1" s="14">
      <c r="A9" s="19" t="inlineStr">
        <is>
          <t>Gassed</t>
        </is>
      </c>
      <c r="B9" s="19" t="inlineStr">
        <is>
          <t>Cannot throw at all until the unlock level</t>
        </is>
      </c>
      <c r="C9" s="20" t="inlineStr">
        <is>
          <t>-</t>
        </is>
      </c>
      <c r="D9" s="19" t="inlineStr">
        <is>
          <t>See Stamina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2026-10-22T20:29:52Z</dcterms:created>
  <dcterms:modified xmlns:dcterms="http://purl.org/dc/terms/" xmlns:xsi="http://www.w3.org/2001/XMLSchema-instance" xsi:type="dcterms:W3CDTF">2026-10-23T03:05:16Z</dcterms:modified>
  <cp:revision>0</cp:revision>
</cp:coreProperties>
</file>