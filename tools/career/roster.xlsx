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Styles" sheetId="2" state="visible" r:id="rId4"/>
    <sheet name="Tournaments" sheetId="3" state="visible" r:id="rId5"/>
  </sheets>
  <definedNames>
    <definedName function="false" hidden="true" localSheetId="0" name="_xlnm._FilterDatabase" vbProcedure="false">Roster!$A$1:$AC$62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1 = the favourite of that tournament. You start against the lowest seed; each round brings a higher one.</t>
        </r>
      </text>
    </comment>
    <comment ref="I1" authorId="0">
      <text>
        <r>
          <rPr>
            <sz val="10"/>
            <rFont val="Arial"/>
            <family val="2"/>
          </rPr>
          <t xml:space="preserve">From make_roster.py: 0 is weaker than the Easy CPU, 1 is past Hard. Sets reaction time, defence, accuracy and work rate.</t>
        </r>
      </text>
    </comment>
    <comment ref="K1" authorId="0">
      <text>
        <r>
          <rPr>
            <sz val="10"/>
            <rFont val="Arial"/>
            <family val="2"/>
          </rPr>
          <t xml:space="preserve">Damage he takes is divided by this. In the Ultimate it also grows 7% each round (src/ui/career.js).</t>
        </r>
      </text>
    </comment>
    <comment ref="L1" authorId="0">
      <text>
        <r>
          <rPr>
            <sz val="10"/>
            <rFont val="Arial"/>
            <family val="2"/>
          </rPr>
          <t xml:space="preserve">Damage he deals is multiplied by this. In the Ultimate it also grows 3.5% each round.</t>
        </r>
      </text>
    </comment>
    <comment ref="M1" authorId="0">
      <text>
        <r>
          <rPr>
            <sz val="10"/>
            <rFont val="Arial"/>
            <family val="2"/>
          </rPr>
          <t xml:space="preserve">Share of normal damage he takes at the start of the tournament: 1 / Toughness.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Set in src/ui/career.js (carGrit): Ultimate fighters take 7% less damage and hit 3.5% harder for each round you have won.</t>
        </r>
      </text>
    </comment>
  </commentList>
</comments>
</file>

<file path=xl/sharedStrings.xml><?xml version="1.0" encoding="utf-8"?>
<sst xmlns="http://schemas.openxmlformats.org/spreadsheetml/2006/main" count="1504" uniqueCount="360">
  <si>
    <t xml:space="preserve">Tournament</t>
  </si>
  <si>
    <t xml:space="preserve">Seed</t>
  </si>
  <si>
    <t xml:space="preserve">Name</t>
  </si>
  <si>
    <t xml:space="preserve">Nickname</t>
  </si>
  <si>
    <t xml:space="preserve">Hometown</t>
  </si>
  <si>
    <t xml:space="preserve">Style</t>
  </si>
  <si>
    <t xml:space="preserve">Technique</t>
  </si>
  <si>
    <t xml:space="preserve">Signature punch</t>
  </si>
  <si>
    <t xml:space="preserve">Skill (0-1)</t>
  </si>
  <si>
    <t xml:space="preserve">Danger (1-10)</t>
  </si>
  <si>
    <t xml:space="preserve">Toughness</t>
  </si>
  <si>
    <t xml:space="preserve">Power</t>
  </si>
  <si>
    <t xml:space="preserve">Takes damage</t>
  </si>
  <si>
    <t xml:space="preserve">Hair</t>
  </si>
  <si>
    <t xml:space="preserve">Hair colour</t>
  </si>
  <si>
    <t xml:space="preserve">Facial hair</t>
  </si>
  <si>
    <t xml:space="preserve">Face</t>
  </si>
  <si>
    <t xml:space="preserve">Eyebrows</t>
  </si>
  <si>
    <t xml:space="preserve">Skin</t>
  </si>
  <si>
    <t xml:space="preserve">Eyes</t>
  </si>
  <si>
    <t xml:space="preserve">Build</t>
  </si>
  <si>
    <t xml:space="preserve">Shorts</t>
  </si>
  <si>
    <t xml:space="preserve">Shorts colour</t>
  </si>
  <si>
    <t xml:space="preserve">Trim</t>
  </si>
  <si>
    <t xml:space="preserve">Top</t>
  </si>
  <si>
    <t xml:space="preserve">Headgear</t>
  </si>
  <si>
    <t xml:space="preserve">Gloves</t>
  </si>
  <si>
    <t xml:space="preserve">Boots</t>
  </si>
  <si>
    <t xml:space="preserve">Sole</t>
  </si>
  <si>
    <t xml:space="preserve">Amateur</t>
  </si>
  <si>
    <t xml:space="preserve">Kwame Mendes</t>
  </si>
  <si>
    <t xml:space="preserve">The Surveyor</t>
  </si>
  <si>
    <t xml:space="preserve">Accra</t>
  </si>
  <si>
    <t xml:space="preserve">Out-boxer</t>
  </si>
  <si>
    <t xml:space="preserve">Stays long behind a stiff jab and keeps moving. Hard to reach, rarely trades.</t>
  </si>
  <si>
    <t xml:space="preserve">Body jab</t>
  </si>
  <si>
    <t xml:space="preserve">Mohawk</t>
  </si>
  <si>
    <t xml:space="preserve">Ginger</t>
  </si>
  <si>
    <t xml:space="preserve">Clean shaven</t>
  </si>
  <si>
    <t xml:space="preserve">Square jaw</t>
  </si>
  <si>
    <t xml:space="preserve">Thin</t>
  </si>
  <si>
    <t xml:space="preserve">Brown</t>
  </si>
  <si>
    <t xml:space="preserve">Grey</t>
  </si>
  <si>
    <t xml:space="preserve">Very lean, toned</t>
  </si>
  <si>
    <t xml:space="preserve">Classic trunks</t>
  </si>
  <si>
    <t xml:space="preserve">Green</t>
  </si>
  <si>
    <t xml:space="preserve">White</t>
  </si>
  <si>
    <t xml:space="preserve">Vest · Green</t>
  </si>
  <si>
    <t xml:space="preserve">No</t>
  </si>
  <si>
    <t xml:space="preserve">Classic boots · Blue</t>
  </si>
  <si>
    <t xml:space="preserve">Black</t>
  </si>
  <si>
    <t xml:space="preserve">Teodor Fontaine</t>
  </si>
  <si>
    <t xml:space="preserve">Steamroller</t>
  </si>
  <si>
    <t xml:space="preserve">Cebu</t>
  </si>
  <si>
    <t xml:space="preserve">Swarmer</t>
  </si>
  <si>
    <t xml:space="preserve">Walks you down and never stops throwing. Lives on the inside with hooks.</t>
  </si>
  <si>
    <t xml:space="preserve">Body hook</t>
  </si>
  <si>
    <t xml:space="preserve">Twists</t>
  </si>
  <si>
    <t xml:space="preserve">Brawler</t>
  </si>
  <si>
    <t xml:space="preserve">Regular</t>
  </si>
  <si>
    <t xml:space="preserve">Light</t>
  </si>
  <si>
    <t xml:space="preserve">Hazel</t>
  </si>
  <si>
    <t xml:space="preserve">Middleweight, built</t>
  </si>
  <si>
    <t xml:space="preserve">Gold</t>
  </si>
  <si>
    <t xml:space="preserve">Orange</t>
  </si>
  <si>
    <t xml:space="preserve">Vest · Gold</t>
  </si>
  <si>
    <t xml:space="preserve">Yes</t>
  </si>
  <si>
    <t xml:space="preserve">Classic boots · White</t>
  </si>
  <si>
    <t xml:space="preserve">Gum</t>
  </si>
  <si>
    <t xml:space="preserve">Bruno Brandt</t>
  </si>
  <si>
    <t xml:space="preserve">Hammerhead</t>
  </si>
  <si>
    <t xml:space="preserve">Glasgow</t>
  </si>
  <si>
    <t xml:space="preserve">Slugger</t>
  </si>
  <si>
    <t xml:space="preserve">Slow feet, heavy hands. Waits for one big hook or uppercut to end it.</t>
  </si>
  <si>
    <t xml:space="preserve">Right uppercut</t>
  </si>
  <si>
    <t xml:space="preserve">Afro</t>
  </si>
  <si>
    <t xml:space="preserve">Wide nose</t>
  </si>
  <si>
    <t xml:space="preserve">Blue</t>
  </si>
  <si>
    <t xml:space="preserve">Heavy, toned</t>
  </si>
  <si>
    <t xml:space="preserve">Silver</t>
  </si>
  <si>
    <t xml:space="preserve">Purple</t>
  </si>
  <si>
    <t xml:space="preserve">Vest · Silver</t>
  </si>
  <si>
    <t xml:space="preserve">Classic boots · Silver</t>
  </si>
  <si>
    <t xml:space="preserve">Tariq Zielinski</t>
  </si>
  <si>
    <t xml:space="preserve">Pitbull</t>
  </si>
  <si>
    <t xml:space="preserve">Sarajevo</t>
  </si>
  <si>
    <t xml:space="preserve">Left hook</t>
  </si>
  <si>
    <t xml:space="preserve">Bald</t>
  </si>
  <si>
    <t xml:space="preserve">Sharp</t>
  </si>
  <si>
    <t xml:space="preserve">Fair</t>
  </si>
  <si>
    <t xml:space="preserve">Middleweight, toned</t>
  </si>
  <si>
    <t xml:space="preserve">Long trunks</t>
  </si>
  <si>
    <t xml:space="preserve">Red</t>
  </si>
  <si>
    <t xml:space="preserve">Bare chest</t>
  </si>
  <si>
    <t xml:space="preserve">Ravi Quinlan</t>
  </si>
  <si>
    <t xml:space="preserve">Turtle</t>
  </si>
  <si>
    <t xml:space="preserve">Halifax</t>
  </si>
  <si>
    <t xml:space="preserve">Shell guard</t>
  </si>
  <si>
    <t xml:space="preserve">Hides behind a high guard, takes your best shots on the arms, then breaks yours.</t>
  </si>
  <si>
    <t xml:space="preserve">Crew cut</t>
  </si>
  <si>
    <t xml:space="preserve">Pink dye</t>
  </si>
  <si>
    <t xml:space="preserve">Heavy, bodybuilder</t>
  </si>
  <si>
    <t xml:space="preserve">Pink</t>
  </si>
  <si>
    <t xml:space="preserve">Classic boots · Red</t>
  </si>
  <si>
    <t xml:space="preserve">Fintan Cruz</t>
  </si>
  <si>
    <t xml:space="preserve">Hollywood</t>
  </si>
  <si>
    <t xml:space="preserve">Mombasa</t>
  </si>
  <si>
    <t xml:space="preserve">Showman</t>
  </si>
  <si>
    <t xml:space="preserve">Flashy and loud. Throws in flurries, taunts when ahead, can be caught showing off.</t>
  </si>
  <si>
    <t xml:space="preserve">Long right hook</t>
  </si>
  <si>
    <t xml:space="preserve">Faux hawk</t>
  </si>
  <si>
    <t xml:space="preserve">Bleached</t>
  </si>
  <si>
    <t xml:space="preserve">Tan</t>
  </si>
  <si>
    <t xml:space="preserve">Lean, built</t>
  </si>
  <si>
    <t xml:space="preserve">Classic boots · Gold</t>
  </si>
  <si>
    <t xml:space="preserve">Vikram Lombardi</t>
  </si>
  <si>
    <t xml:space="preserve">The Drummer</t>
  </si>
  <si>
    <t xml:space="preserve">Volume puncher</t>
  </si>
  <si>
    <t xml:space="preserve">Fast, light punches in long bunches. Wins rounds on work rate.</t>
  </si>
  <si>
    <t xml:space="preserve">Double jab</t>
  </si>
  <si>
    <t xml:space="preserve">Strong chin</t>
  </si>
  <si>
    <t xml:space="preserve">Crimson</t>
  </si>
  <si>
    <t xml:space="preserve">Vest · Crimson</t>
  </si>
  <si>
    <t xml:space="preserve">High boots · White</t>
  </si>
  <si>
    <t xml:space="preserve">Santiago Petrov</t>
  </si>
  <si>
    <t xml:space="preserve">Mirage</t>
  </si>
  <si>
    <t xml:space="preserve">Tbilisi</t>
  </si>
  <si>
    <t xml:space="preserve">Slick defender</t>
  </si>
  <si>
    <t xml:space="preserve">Slips, ducks and rolls everything, then pecks at you from odd angles.</t>
  </si>
  <si>
    <t xml:space="preserve">High-top fade</t>
  </si>
  <si>
    <t xml:space="preserve">Dark brown</t>
  </si>
  <si>
    <t xml:space="preserve">Original</t>
  </si>
  <si>
    <t xml:space="preserve">Lean, toned</t>
  </si>
  <si>
    <t xml:space="preserve">Maroon</t>
  </si>
  <si>
    <t xml:space="preserve">Duncan Cruz</t>
  </si>
  <si>
    <t xml:space="preserve">Long Arm</t>
  </si>
  <si>
    <t xml:space="preserve">Cardiff</t>
  </si>
  <si>
    <t xml:space="preserve">Stiff cross</t>
  </si>
  <si>
    <t xml:space="preserve">Very lean, lean</t>
  </si>
  <si>
    <t xml:space="preserve">Emerald</t>
  </si>
  <si>
    <t xml:space="preserve">Vest · Black</t>
  </si>
  <si>
    <t xml:space="preserve">Hiro Sato</t>
  </si>
  <si>
    <t xml:space="preserve">The Butcher</t>
  </si>
  <si>
    <t xml:space="preserve">Medellín</t>
  </si>
  <si>
    <t xml:space="preserve">Body snatcher</t>
  </si>
  <si>
    <t xml:space="preserve">Digs to the ribs and the liver round after round until your legs go.</t>
  </si>
  <si>
    <t xml:space="preserve">Liver shot</t>
  </si>
  <si>
    <t xml:space="preserve">Beard</t>
  </si>
  <si>
    <t xml:space="preserve">Navy</t>
  </si>
  <si>
    <t xml:space="preserve">Vest · Navy</t>
  </si>
  <si>
    <t xml:space="preserve">Low boots · Silver</t>
  </si>
  <si>
    <t xml:space="preserve">Callum Vasquez</t>
  </si>
  <si>
    <t xml:space="preserve">Wrecking Ball</t>
  </si>
  <si>
    <t xml:space="preserve">Valencia</t>
  </si>
  <si>
    <t xml:space="preserve">Guard breaker</t>
  </si>
  <si>
    <t xml:space="preserve">Heavy, built</t>
  </si>
  <si>
    <t xml:space="preserve">Low boots · Blue</t>
  </si>
  <si>
    <t xml:space="preserve">Pavel Vasquez</t>
  </si>
  <si>
    <t xml:space="preserve">Gut Check</t>
  </si>
  <si>
    <t xml:space="preserve">Rotterdam</t>
  </si>
  <si>
    <t xml:space="preserve">Buns</t>
  </si>
  <si>
    <t xml:space="preserve">Auburn</t>
  </si>
  <si>
    <t xml:space="preserve">Deep</t>
  </si>
  <si>
    <t xml:space="preserve">Low boots · Black</t>
  </si>
  <si>
    <t xml:space="preserve">Declan Moretti</t>
  </si>
  <si>
    <t xml:space="preserve">Rebound</t>
  </si>
  <si>
    <t xml:space="preserve">Counter-puncher</t>
  </si>
  <si>
    <t xml:space="preserve">Lets you lead, slips or blocks, then fires back before you reset.</t>
  </si>
  <si>
    <t xml:space="preserve">High boots · Black</t>
  </si>
  <si>
    <t xml:space="preserve">Sven Grieve</t>
  </si>
  <si>
    <t xml:space="preserve">Snapback</t>
  </si>
  <si>
    <t xml:space="preserve">Tijuana</t>
  </si>
  <si>
    <t xml:space="preserve">Buzzed</t>
  </si>
  <si>
    <t xml:space="preserve">Teal</t>
  </si>
  <si>
    <t xml:space="preserve">Vest · Teal</t>
  </si>
  <si>
    <t xml:space="preserve">Gideon Marsh</t>
  </si>
  <si>
    <t xml:space="preserve">Slipstream</t>
  </si>
  <si>
    <t xml:space="preserve">Round and soft</t>
  </si>
  <si>
    <t xml:space="preserve">High boots · Blue</t>
  </si>
  <si>
    <t xml:space="preserve">Pro</t>
  </si>
  <si>
    <t xml:space="preserve">Rocco Laurent</t>
  </si>
  <si>
    <t xml:space="preserve">Sledgehammer</t>
  </si>
  <si>
    <t xml:space="preserve">Kraków</t>
  </si>
  <si>
    <t xml:space="preserve">Pompadour</t>
  </si>
  <si>
    <t xml:space="preserve">Sky</t>
  </si>
  <si>
    <t xml:space="preserve">Ronan Grieve</t>
  </si>
  <si>
    <t xml:space="preserve">Rib Breaker</t>
  </si>
  <si>
    <t xml:space="preserve">High boots · Gold</t>
  </si>
  <si>
    <t xml:space="preserve">Obi Farrell</t>
  </si>
  <si>
    <t xml:space="preserve">The Vault</t>
  </si>
  <si>
    <t xml:space="preserve">Lagos</t>
  </si>
  <si>
    <t xml:space="preserve">Flat top</t>
  </si>
  <si>
    <t xml:space="preserve">Middleweight, bodybuilder</t>
  </si>
  <si>
    <t xml:space="preserve">Low boots · Gold</t>
  </si>
  <si>
    <t xml:space="preserve">Emeka Zielinski</t>
  </si>
  <si>
    <t xml:space="preserve">Metronome</t>
  </si>
  <si>
    <t xml:space="preserve">Perth</t>
  </si>
  <si>
    <t xml:space="preserve">Silas Mendes</t>
  </si>
  <si>
    <t xml:space="preserve">Payback</t>
  </si>
  <si>
    <t xml:space="preserve">Manila</t>
  </si>
  <si>
    <t xml:space="preserve">Paolo Sandoval</t>
  </si>
  <si>
    <t xml:space="preserve">Machine Gun</t>
  </si>
  <si>
    <t xml:space="preserve">Hamburg</t>
  </si>
  <si>
    <t xml:space="preserve">Simple parted</t>
  </si>
  <si>
    <t xml:space="preserve">Classic boots · Black</t>
  </si>
  <si>
    <t xml:space="preserve">Joaquin Jensen</t>
  </si>
  <si>
    <t xml:space="preserve">The Mirror</t>
  </si>
  <si>
    <t xml:space="preserve">Cornrows</t>
  </si>
  <si>
    <t xml:space="preserve">Cyrus Kerrigan</t>
  </si>
  <si>
    <t xml:space="preserve">Dynamite</t>
  </si>
  <si>
    <t xml:space="preserve">Mateo Kerrigan</t>
  </si>
  <si>
    <t xml:space="preserve">Quicksilver</t>
  </si>
  <si>
    <t xml:space="preserve">Uppercut</t>
  </si>
  <si>
    <t xml:space="preserve">Lean, lean</t>
  </si>
  <si>
    <t xml:space="preserve">Jae-won Varga</t>
  </si>
  <si>
    <t xml:space="preserve">The Circus</t>
  </si>
  <si>
    <t xml:space="preserve">Durban</t>
  </si>
  <si>
    <t xml:space="preserve">Ilya Dossou</t>
  </si>
  <si>
    <t xml:space="preserve">The Ghost</t>
  </si>
  <si>
    <t xml:space="preserve">Long and narrow</t>
  </si>
  <si>
    <t xml:space="preserve">Felix Dlamini</t>
  </si>
  <si>
    <t xml:space="preserve">Riptide</t>
  </si>
  <si>
    <t xml:space="preserve">Thiago Sandoval</t>
  </si>
  <si>
    <t xml:space="preserve">Yardstick</t>
  </si>
  <si>
    <t xml:space="preserve">Blond</t>
  </si>
  <si>
    <t xml:space="preserve">Olive</t>
  </si>
  <si>
    <t xml:space="preserve">Leon Coyle</t>
  </si>
  <si>
    <t xml:space="preserve">Buzzsaw</t>
  </si>
  <si>
    <t xml:space="preserve">Malik Sandoval</t>
  </si>
  <si>
    <t xml:space="preserve">The Plumber</t>
  </si>
  <si>
    <t xml:space="preserve">Recife</t>
  </si>
  <si>
    <t xml:space="preserve">Ultimate</t>
  </si>
  <si>
    <t xml:space="preserve">Kenji Haddad</t>
  </si>
  <si>
    <t xml:space="preserve">Hailstorm</t>
  </si>
  <si>
    <t xml:space="preserve">Gothenburg</t>
  </si>
  <si>
    <t xml:space="preserve">Low boots · Red</t>
  </si>
  <si>
    <t xml:space="preserve">Dmitri Yilmaz</t>
  </si>
  <si>
    <t xml:space="preserve">Woodpecker</t>
  </si>
  <si>
    <t xml:space="preserve">Red dye</t>
  </si>
  <si>
    <t xml:space="preserve">Ulises Zamora</t>
  </si>
  <si>
    <t xml:space="preserve">Boulder</t>
  </si>
  <si>
    <t xml:space="preserve">Izmir</t>
  </si>
  <si>
    <t xml:space="preserve">Heavyweight, toned</t>
  </si>
  <si>
    <t xml:space="preserve">Farid Dlamini</t>
  </si>
  <si>
    <t xml:space="preserve">Encore</t>
  </si>
  <si>
    <t xml:space="preserve">Bristol</t>
  </si>
  <si>
    <t xml:space="preserve">Aleksander Walsh</t>
  </si>
  <si>
    <t xml:space="preserve">Bunker</t>
  </si>
  <si>
    <t xml:space="preserve">High boots · Silver</t>
  </si>
  <si>
    <t xml:space="preserve">Arjun Adeyemi</t>
  </si>
  <si>
    <t xml:space="preserve">Iron Gate</t>
  </si>
  <si>
    <t xml:space="preserve">Lucas Dossou</t>
  </si>
  <si>
    <t xml:space="preserve">Matador</t>
  </si>
  <si>
    <t xml:space="preserve">Naples</t>
  </si>
  <si>
    <t xml:space="preserve">High boots · Red</t>
  </si>
  <si>
    <t xml:space="preserve">Tomas Dossou</t>
  </si>
  <si>
    <t xml:space="preserve">The Fencer</t>
  </si>
  <si>
    <t xml:space="preserve">Viktor Sandoval</t>
  </si>
  <si>
    <t xml:space="preserve">The Professor</t>
  </si>
  <si>
    <t xml:space="preserve">Nnamdi Osei</t>
  </si>
  <si>
    <t xml:space="preserve">Wildfire</t>
  </si>
  <si>
    <t xml:space="preserve">Osaka</t>
  </si>
  <si>
    <t xml:space="preserve">Jonah Moretti</t>
  </si>
  <si>
    <t xml:space="preserve">Return Fire</t>
  </si>
  <si>
    <t xml:space="preserve">Amadou Fontaine</t>
  </si>
  <si>
    <t xml:space="preserve">Body Bag</t>
  </si>
  <si>
    <t xml:space="preserve">Nairobi</t>
  </si>
  <si>
    <t xml:space="preserve">Rafael Iwu</t>
  </si>
  <si>
    <t xml:space="preserve">Razzle</t>
  </si>
  <si>
    <t xml:space="preserve">Wes Iwu</t>
  </si>
  <si>
    <t xml:space="preserve">The Drill</t>
  </si>
  <si>
    <t xml:space="preserve">Yusuf Okafor</t>
  </si>
  <si>
    <t xml:space="preserve">Relentless</t>
  </si>
  <si>
    <t xml:space="preserve">Enzo Nakamura</t>
  </si>
  <si>
    <t xml:space="preserve">Undertow</t>
  </si>
  <si>
    <t xml:space="preserve">Diego Whitlock</t>
  </si>
  <si>
    <t xml:space="preserve">Echo</t>
  </si>
  <si>
    <t xml:space="preserve">Porto</t>
  </si>
  <si>
    <t xml:space="preserve">Blue dye</t>
  </si>
  <si>
    <t xml:space="preserve">Zoran Zamora</t>
  </si>
  <si>
    <t xml:space="preserve">Second Thought</t>
  </si>
  <si>
    <t xml:space="preserve">Kai Sato</t>
  </si>
  <si>
    <t xml:space="preserve">The Ambush</t>
  </si>
  <si>
    <t xml:space="preserve">Kumasi</t>
  </si>
  <si>
    <t xml:space="preserve">Tunde Uzor</t>
  </si>
  <si>
    <t xml:space="preserve">Shadow</t>
  </si>
  <si>
    <t xml:space="preserve">Marseille</t>
  </si>
  <si>
    <t xml:space="preserve">Marcus Kowalski</t>
  </si>
  <si>
    <t xml:space="preserve">Thunder</t>
  </si>
  <si>
    <t xml:space="preserve">Dakar</t>
  </si>
  <si>
    <t xml:space="preserve">Reza Laurent</t>
  </si>
  <si>
    <t xml:space="preserve">Firecracker</t>
  </si>
  <si>
    <t xml:space="preserve">Green dye</t>
  </si>
  <si>
    <t xml:space="preserve">Ibrahim Zamora</t>
  </si>
  <si>
    <t xml:space="preserve">Tape Measure</t>
  </si>
  <si>
    <t xml:space="preserve">Bastian Varga</t>
  </si>
  <si>
    <t xml:space="preserve">Spotlight</t>
  </si>
  <si>
    <t xml:space="preserve">Ezra Laurent</t>
  </si>
  <si>
    <t xml:space="preserve">The Anvil</t>
  </si>
  <si>
    <t xml:space="preserve">Heavyweight, built</t>
  </si>
  <si>
    <t xml:space="preserve">Andre Rahman</t>
  </si>
  <si>
    <t xml:space="preserve">Phantom</t>
  </si>
  <si>
    <t xml:space="preserve">Belfast</t>
  </si>
  <si>
    <t xml:space="preserve">Kofi Fontaine</t>
  </si>
  <si>
    <t xml:space="preserve">Lighthouse</t>
  </si>
  <si>
    <t xml:space="preserve">Dario Pereira</t>
  </si>
  <si>
    <t xml:space="preserve">Big Bang</t>
  </si>
  <si>
    <t xml:space="preserve">Long</t>
  </si>
  <si>
    <t xml:space="preserve">Mehmet Novak</t>
  </si>
  <si>
    <t xml:space="preserve">Lockbox</t>
  </si>
  <si>
    <t xml:space="preserve">Xander Ferreira</t>
  </si>
  <si>
    <t xml:space="preserve">The Hornet</t>
  </si>
  <si>
    <t xml:space="preserve">Orlando Mendes</t>
  </si>
  <si>
    <t xml:space="preserve">Bulldozer</t>
  </si>
  <si>
    <t xml:space="preserve">How he fights</t>
  </si>
  <si>
    <t xml:space="preserve">Likes to fight at</t>
  </si>
  <si>
    <t xml:space="preserve">Favourite game plan</t>
  </si>
  <si>
    <t xml:space="preserve">Throws most</t>
  </si>
  <si>
    <t xml:space="preserve">Changes to his skill</t>
  </si>
  <si>
    <t xml:space="preserve">Fighters</t>
  </si>
  <si>
    <t xml:space="preserve">Long range</t>
  </si>
  <si>
    <t xml:space="preserve">Boxing at range</t>
  </si>
  <si>
    <t xml:space="preserve">straight x1.9</t>
  </si>
  <si>
    <t xml:space="preserve">work rate -10%, defence +15%, dodging +10%, combinations -15%</t>
  </si>
  <si>
    <t xml:space="preserve">In close</t>
  </si>
  <si>
    <t xml:space="preserve">Pressure</t>
  </si>
  <si>
    <t xml:space="preserve">hook x1.6, upper x1.2, body x1.2</t>
  </si>
  <si>
    <t xml:space="preserve">work rate +35%, combinations +30%, pause between moves -20%, defence -15%</t>
  </si>
  <si>
    <t xml:space="preserve">Medium-close</t>
  </si>
  <si>
    <t xml:space="preserve">Adapts to you</t>
  </si>
  <si>
    <t xml:space="preserve">hook x1.8, upper x1.7, power x1.6</t>
  </si>
  <si>
    <t xml:space="preserve">work rate -20%, combinations -40%, pause between moves +25%, defence -20%, dodging -40%, power x1.12</t>
  </si>
  <si>
    <t xml:space="preserve">Medium-long</t>
  </si>
  <si>
    <t xml:space="preserve">Countering</t>
  </si>
  <si>
    <t xml:space="preserve">straight x1.3, hook x1.2</t>
  </si>
  <si>
    <t xml:space="preserve">work rate -35%, punishing misses +40%, reaction time -15%, dodging +25%, reading punches +5%</t>
  </si>
  <si>
    <t xml:space="preserve">Body work</t>
  </si>
  <si>
    <t xml:space="preserve">body x2.5, power x1.3</t>
  </si>
  <si>
    <t xml:space="preserve">work rate +5%, combinations +10%</t>
  </si>
  <si>
    <t xml:space="preserve">straight x1.2, hook x1.1, upper x1.1</t>
  </si>
  <si>
    <t xml:space="preserve">dodging +60%, defence +25%, work rate -15%, reaction time -15%</t>
  </si>
  <si>
    <t xml:space="preserve">Middle distance</t>
  </si>
  <si>
    <t xml:space="preserve">straight x1.5, hook x1.1, body x1.1</t>
  </si>
  <si>
    <t xml:space="preserve">work rate +45%, combinations +40%, pause between moves -30%, power x0.9</t>
  </si>
  <si>
    <t xml:space="preserve">power x2.2, hook x1.2</t>
  </si>
  <si>
    <t xml:space="preserve">defence +45%, dodging -55%, work rate -15%, punishing misses +20%, toughness x1.08</t>
  </si>
  <si>
    <t xml:space="preserve">upper x1.5, hook x1.3</t>
  </si>
  <si>
    <t xml:space="preserve">work rate +15%, combinations +25%, taunting +400%, defence -10%, reading punches -5%</t>
  </si>
  <si>
    <t xml:space="preserve">Short name</t>
  </si>
  <si>
    <t xml:space="preserve">Rounds</t>
  </si>
  <si>
    <t xml:space="preserve">Opponents</t>
  </si>
  <si>
    <t xml:space="preserve">Weakest skill</t>
  </si>
  <si>
    <t xml:space="preserve">Strongest skill</t>
  </si>
  <si>
    <t xml:space="preserve">Toughness from</t>
  </si>
  <si>
    <t xml:space="preserve">Toughness to</t>
  </si>
  <si>
    <t xml:space="preserve">Toughness growth per round</t>
  </si>
  <si>
    <t xml:space="preserve">Amateur Boxing Championship</t>
  </si>
  <si>
    <t xml:space="preserve">Pro Boxing Championship</t>
  </si>
  <si>
    <t xml:space="preserve">Ultimate Boxing Championship</t>
  </si>
  <si>
    <t xml:space="preserve">You make up the last place in every draw: Fighters = Opponents + 1. Blue numbers are inputs; the rest are formulas.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</si>
</sst>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\x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i val="true"/>
      <sz val="9"/>
      <color rgb="FF666666"/>
      <name val="Arial"/>
      <family val="0"/>
      <charset val="1"/>
    </font>
  </fonts>
  <fills count="45">
    <fill>
      <patternFill patternType="none"/>
    </fill>
    <fill>
      <patternFill patternType="gray125"/>
    </fill>
    <fill>
      <patternFill patternType="solid">
        <fgColor rgb="FF1B1D24"/>
        <bgColor rgb="FF17181D"/>
      </patternFill>
    </fill>
    <fill>
      <patternFill patternType="solid">
        <fgColor rgb="FFA4481C"/>
        <bgColor rgb="FF8A5636"/>
      </patternFill>
    </fill>
    <fill>
      <patternFill patternType="solid">
        <fgColor rgb="FFA06A44"/>
        <bgColor rgb="FF8A5636"/>
      </patternFill>
    </fill>
    <fill>
      <patternFill patternType="solid">
        <fgColor rgb="FF7D8A94"/>
        <bgColor rgb="FF8D8B88"/>
      </patternFill>
    </fill>
    <fill>
      <patternFill patternType="solid">
        <fgColor rgb="FF2F8F4E"/>
        <bgColor rgb="FF3F7A45"/>
      </patternFill>
    </fill>
    <fill>
      <patternFill patternType="solid">
        <fgColor rgb="FFF1ECE1"/>
        <bgColor rgb="FFF4EFE4"/>
      </patternFill>
    </fill>
    <fill>
      <patternFill patternType="solid">
        <fgColor rgb="FF16171C"/>
        <bgColor rgb="FF17181D"/>
      </patternFill>
    </fill>
    <fill>
      <patternFill patternType="solid">
        <fgColor rgb="FF8D8B88"/>
        <bgColor rgb="FF7D8A94"/>
      </patternFill>
    </fill>
    <fill>
      <patternFill patternType="solid">
        <fgColor rgb="FFE8B48A"/>
        <bgColor rgb="FFF0C9A4"/>
      </patternFill>
    </fill>
    <fill>
      <patternFill patternType="solid">
        <fgColor rgb="FF7A6A2E"/>
        <bgColor rgb="FF8A5636"/>
      </patternFill>
    </fill>
    <fill>
      <patternFill patternType="solid">
        <fgColor rgb="FFFFC83A"/>
        <bgColor rgb="FFE8B48A"/>
      </patternFill>
    </fill>
    <fill>
      <patternFill patternType="solid">
        <fgColor rgb="FFE8762B"/>
        <bgColor rgb="FFC08A5C"/>
      </patternFill>
    </fill>
    <fill>
      <patternFill patternType="solid">
        <fgColor rgb="FFC49A5C"/>
        <bgColor rgb="FFC9A25A"/>
      </patternFill>
    </fill>
    <fill>
      <patternFill patternType="solid">
        <fgColor rgb="FF3A6FB8"/>
        <bgColor rgb="FF2457C9"/>
      </patternFill>
    </fill>
    <fill>
      <patternFill patternType="solid">
        <fgColor rgb="FFB9BCC2"/>
        <bgColor rgb="FFD0D0D0"/>
      </patternFill>
    </fill>
    <fill>
      <patternFill patternType="solid">
        <fgColor rgb="FF6A3FB5"/>
        <bgColor rgb="FF666666"/>
      </patternFill>
    </fill>
    <fill>
      <patternFill patternType="solid">
        <fgColor rgb="FFF0C9A4"/>
        <bgColor rgb="FFE6DCC2"/>
      </patternFill>
    </fill>
    <fill>
      <patternFill patternType="solid">
        <fgColor rgb="FF3F7A45"/>
        <bgColor rgb="FF2F8F4E"/>
      </patternFill>
    </fill>
    <fill>
      <patternFill patternType="solid">
        <fgColor rgb="FF17181D"/>
        <bgColor rgb="FF16171C"/>
      </patternFill>
    </fill>
    <fill>
      <patternFill patternType="solid">
        <fgColor rgb="FFD8302A"/>
        <bgColor rgb="FFC8281F"/>
      </patternFill>
    </fill>
    <fill>
      <patternFill patternType="solid">
        <fgColor rgb="FFE0699A"/>
        <bgColor rgb="FFC08A5C"/>
      </patternFill>
    </fill>
    <fill>
      <patternFill patternType="solid">
        <fgColor rgb="FFE6DCC2"/>
        <bgColor rgb="FFD0D0D0"/>
      </patternFill>
    </fill>
    <fill>
      <patternFill patternType="solid">
        <fgColor rgb="FFD59A6C"/>
        <bgColor rgb="FFC49A5C"/>
      </patternFill>
    </fill>
    <fill>
      <patternFill patternType="solid">
        <fgColor rgb="FFF4EFE4"/>
        <bgColor rgb="FFF1ECE1"/>
      </patternFill>
    </fill>
    <fill>
      <patternFill patternType="solid">
        <fgColor rgb="FF9E1B22"/>
        <bgColor rgb="FFC8281F"/>
      </patternFill>
    </fill>
    <fill>
      <patternFill patternType="solid">
        <fgColor rgb="FF2A1A12"/>
        <bgColor rgb="FF2A1A10"/>
      </patternFill>
    </fill>
    <fill>
      <patternFill patternType="solid">
        <fgColor rgb="FF5C1A23"/>
        <bgColor rgb="FF5A3820"/>
      </patternFill>
    </fill>
    <fill>
      <patternFill patternType="solid">
        <fgColor rgb="FF0F6B4A"/>
        <bgColor rgb="FF3F7A45"/>
      </patternFill>
    </fill>
    <fill>
      <patternFill patternType="solid">
        <fgColor rgb="FF5A3A1E"/>
        <bgColor rgb="FF5A3820"/>
      </patternFill>
    </fill>
    <fill>
      <patternFill patternType="solid">
        <fgColor rgb="FF1B2A55"/>
        <bgColor rgb="FF1B1D24"/>
      </patternFill>
    </fill>
    <fill>
      <patternFill patternType="solid">
        <fgColor rgb="FF1E5BD0"/>
        <bgColor rgb="FF2457C9"/>
      </patternFill>
    </fill>
    <fill>
      <patternFill patternType="solid">
        <fgColor rgb="FF8A5636"/>
        <bgColor rgb="FF7A6A2E"/>
      </patternFill>
    </fill>
    <fill>
      <patternFill patternType="solid">
        <fgColor rgb="FF7A3016"/>
        <bgColor rgb="FF5E3A24"/>
      </patternFill>
    </fill>
    <fill>
      <patternFill patternType="solid">
        <fgColor rgb="FF5E3A24"/>
        <bgColor rgb="FF5A3A1E"/>
      </patternFill>
    </fill>
    <fill>
      <patternFill patternType="solid">
        <fgColor rgb="FF5A3820"/>
        <bgColor rgb="FF5A3A1E"/>
      </patternFill>
    </fill>
    <fill>
      <patternFill patternType="solid">
        <fgColor rgb="FF2A1A10"/>
        <bgColor rgb="FF2A1A12"/>
      </patternFill>
    </fill>
    <fill>
      <patternFill patternType="solid">
        <fgColor rgb="FF1F8A8A"/>
        <bgColor rgb="FF2F8F4E"/>
      </patternFill>
    </fill>
    <fill>
      <patternFill patternType="solid">
        <fgColor rgb="FF4AA3DF"/>
        <bgColor rgb="FF1F8A8A"/>
      </patternFill>
    </fill>
    <fill>
      <patternFill patternType="solid">
        <fgColor rgb="FF141013"/>
        <bgColor rgb="FF16171C"/>
      </patternFill>
    </fill>
    <fill>
      <patternFill patternType="solid">
        <fgColor rgb="FFC9A25A"/>
        <bgColor rgb="FFC49A5C"/>
      </patternFill>
    </fill>
    <fill>
      <patternFill patternType="solid">
        <fgColor rgb="FFC08A5C"/>
        <bgColor rgb="FFC49A5C"/>
      </patternFill>
    </fill>
    <fill>
      <patternFill patternType="solid">
        <fgColor rgb="FFC8281F"/>
        <bgColor rgb="FFD8302A"/>
      </patternFill>
    </fill>
    <fill>
      <patternFill patternType="solid">
        <fgColor rgb="FF2457C9"/>
        <bgColor rgb="FF1E5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7">
    <dxf>
      <fill>
        <patternFill patternType="solid">
          <fgColor rgb="FF1B1D2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41013"/>
          <bgColor rgb="FF000000"/>
        </patternFill>
      </fill>
    </dxf>
    <dxf>
      <fill>
        <patternFill patternType="solid">
          <fgColor rgb="FF2457C9"/>
          <bgColor rgb="FF000000"/>
        </patternFill>
      </fill>
    </dxf>
    <dxf>
      <fill>
        <patternFill patternType="solid">
          <fgColor rgb="FF2A1A12"/>
          <bgColor rgb="FF000000"/>
        </patternFill>
      </fill>
    </dxf>
    <dxf>
      <fill>
        <patternFill patternType="solid">
          <fgColor rgb="FF2F8F4E"/>
          <bgColor rgb="FF000000"/>
        </patternFill>
      </fill>
    </dxf>
    <dxf>
      <fill>
        <patternFill patternType="solid">
          <fgColor rgb="FF5A3820"/>
          <bgColor rgb="FF000000"/>
        </patternFill>
      </fill>
    </dxf>
    <dxf>
      <fill>
        <patternFill patternType="solid">
          <fgColor rgb="FF7A3016"/>
          <bgColor rgb="FF000000"/>
        </patternFill>
      </fill>
    </dxf>
    <dxf>
      <fill>
        <patternFill patternType="solid">
          <fgColor rgb="FF8D8B88"/>
          <bgColor rgb="FF000000"/>
        </patternFill>
      </fill>
    </dxf>
    <dxf>
      <fill>
        <patternFill patternType="solid">
          <fgColor rgb="FFA4481C"/>
          <bgColor rgb="FF000000"/>
        </patternFill>
      </fill>
    </dxf>
    <dxf>
      <fill>
        <patternFill patternType="solid">
          <fgColor rgb="FFC8281F"/>
          <bgColor rgb="FF000000"/>
        </patternFill>
      </fill>
    </dxf>
    <dxf>
      <fill>
        <patternFill patternType="solid">
          <fgColor rgb="FFC9A25A"/>
          <bgColor rgb="FF000000"/>
        </patternFill>
      </fill>
    </dxf>
    <dxf>
      <fill>
        <patternFill patternType="solid">
          <fgColor rgb="FFE0699A"/>
          <bgColor rgb="FF000000"/>
        </patternFill>
      </fill>
    </dxf>
    <dxf>
      <fill>
        <patternFill patternType="solid">
          <fgColor rgb="FFE6DCC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E3A24"/>
          <bgColor rgb="FF000000"/>
        </patternFill>
      </fill>
    </dxf>
    <dxf>
      <fill>
        <patternFill patternType="solid">
          <fgColor rgb="FF8A5636"/>
          <bgColor rgb="FF000000"/>
        </patternFill>
      </fill>
    </dxf>
    <dxf>
      <fill>
        <patternFill patternType="solid">
          <fgColor rgb="FFA06A44"/>
          <bgColor rgb="FF000000"/>
        </patternFill>
      </fill>
    </dxf>
    <dxf>
      <fill>
        <patternFill patternType="solid">
          <fgColor rgb="FFC08A5C"/>
          <bgColor rgb="FF000000"/>
        </patternFill>
      </fill>
    </dxf>
    <dxf>
      <fill>
        <patternFill patternType="solid">
          <fgColor rgb="FFD59A6C"/>
          <bgColor rgb="FF000000"/>
        </patternFill>
      </fill>
    </dxf>
    <dxf>
      <fill>
        <patternFill patternType="solid">
          <fgColor rgb="FFE8B48A"/>
          <bgColor rgb="FF000000"/>
        </patternFill>
      </fill>
    </dxf>
    <dxf>
      <fill>
        <patternFill patternType="solid">
          <fgColor rgb="FFF0C9A4"/>
          <bgColor rgb="FF000000"/>
        </patternFill>
      </fill>
    </dxf>
    <dxf>
      <fill>
        <patternFill patternType="solid">
          <fgColor rgb="FF2A1A10"/>
          <bgColor rgb="FF000000"/>
        </patternFill>
      </fill>
    </dxf>
    <dxf>
      <fill>
        <patternFill patternType="solid">
          <fgColor rgb="FF3A6FB8"/>
          <bgColor rgb="FF000000"/>
        </patternFill>
      </fill>
    </dxf>
    <dxf>
      <fill>
        <patternFill patternType="solid">
          <fgColor rgb="FF3F7A45"/>
          <bgColor rgb="FF000000"/>
        </patternFill>
      </fill>
    </dxf>
    <dxf>
      <fill>
        <patternFill patternType="solid">
          <fgColor rgb="FF5A3A1E"/>
          <bgColor rgb="FF000000"/>
        </patternFill>
      </fill>
    </dxf>
    <dxf>
      <fill>
        <patternFill patternType="solid">
          <fgColor rgb="FF7A6A2E"/>
          <bgColor rgb="FF000000"/>
        </patternFill>
      </fill>
    </dxf>
    <dxf>
      <fill>
        <patternFill patternType="solid">
          <fgColor rgb="FF7D8A94"/>
          <bgColor rgb="FF000000"/>
        </patternFill>
      </fill>
    </dxf>
    <dxf>
      <fill>
        <patternFill patternType="solid">
          <fgColor rgb="FF0F6B4A"/>
          <bgColor rgb="FF000000"/>
        </patternFill>
      </fill>
    </dxf>
    <dxf>
      <fill>
        <patternFill patternType="solid">
          <fgColor rgb="FF17181D"/>
          <bgColor rgb="FF000000"/>
        </patternFill>
      </fill>
    </dxf>
    <dxf>
      <fill>
        <patternFill patternType="solid">
          <fgColor rgb="FF1B2A55"/>
          <bgColor rgb="FF000000"/>
        </patternFill>
      </fill>
    </dxf>
    <dxf>
      <fill>
        <patternFill patternType="solid">
          <fgColor rgb="FF1E5BD0"/>
          <bgColor rgb="FF000000"/>
        </patternFill>
      </fill>
    </dxf>
    <dxf>
      <fill>
        <patternFill patternType="solid">
          <fgColor rgb="FF1F8A8A"/>
          <bgColor rgb="FF000000"/>
        </patternFill>
      </fill>
    </dxf>
    <dxf>
      <fill>
        <patternFill patternType="solid">
          <fgColor rgb="FF4AA3DF"/>
          <bgColor rgb="FF000000"/>
        </patternFill>
      </fill>
    </dxf>
    <dxf>
      <fill>
        <patternFill patternType="solid">
          <fgColor rgb="FF5C1A23"/>
          <bgColor rgb="FF000000"/>
        </patternFill>
      </fill>
    </dxf>
    <dxf>
      <fill>
        <patternFill patternType="solid">
          <fgColor rgb="FF6A3FB5"/>
          <bgColor rgb="FF000000"/>
        </patternFill>
      </fill>
    </dxf>
    <dxf>
      <fill>
        <patternFill patternType="solid">
          <fgColor rgb="FF9E1B22"/>
          <bgColor rgb="FF000000"/>
        </patternFill>
      </fill>
    </dxf>
    <dxf>
      <fill>
        <patternFill patternType="solid">
          <fgColor rgb="FFB9BCC2"/>
          <bgColor rgb="FF000000"/>
        </patternFill>
      </fill>
    </dxf>
    <dxf>
      <fill>
        <patternFill patternType="solid">
          <fgColor rgb="FFD8302A"/>
          <bgColor rgb="FF000000"/>
        </patternFill>
      </fill>
    </dxf>
    <dxf>
      <fill>
        <patternFill patternType="solid">
          <fgColor rgb="FFE8762B"/>
          <bgColor rgb="FF000000"/>
        </patternFill>
      </fill>
    </dxf>
    <dxf>
      <fill>
        <patternFill patternType="solid">
          <fgColor rgb="FFF1ECE1"/>
          <bgColor rgb="FF000000"/>
        </patternFill>
      </fill>
    </dxf>
    <dxf>
      <fill>
        <patternFill patternType="solid">
          <fgColor rgb="FFFFC83A"/>
          <bgColor rgb="FF000000"/>
        </patternFill>
      </fill>
    </dxf>
    <dxf>
      <fill>
        <patternFill patternType="solid">
          <fgColor rgb="FF16171C"/>
          <bgColor rgb="FF000000"/>
        </patternFill>
      </fill>
    </dxf>
    <dxf>
      <fill>
        <patternFill patternType="solid">
          <fgColor rgb="FFC49A5C"/>
          <bgColor rgb="FF000000"/>
        </patternFill>
      </fill>
    </dxf>
    <dxf>
      <fill>
        <patternFill patternType="solid">
          <fgColor rgb="FFF4EFE4"/>
          <bgColor rgb="FF000000"/>
        </patternFill>
      </fill>
    </dxf>
  </dxfs>
  <colors>
    <indexedColors>
      <rgbColor rgb="FF000000"/>
      <rgbColor rgb="FFFFFFFF"/>
      <rgbColor rgb="FFC8281F"/>
      <rgbColor rgb="FF00FF00"/>
      <rgbColor rgb="FF0000FF"/>
      <rgbColor rgb="FFFFFF00"/>
      <rgbColor rgb="FFD8302A"/>
      <rgbColor rgb="FF00FFFF"/>
      <rgbColor rgb="FF9E1B22"/>
      <rgbColor rgb="FF3F7A45"/>
      <rgbColor rgb="FF16171C"/>
      <rgbColor rgb="FF7A6A2E"/>
      <rgbColor rgb="FF5E3A24"/>
      <rgbColor rgb="FF1F8A8A"/>
      <rgbColor rgb="FFB9BCC2"/>
      <rgbColor rgb="FF7D8A94"/>
      <rgbColor rgb="FFC08A5C"/>
      <rgbColor rgb="FFA4481C"/>
      <rgbColor rgb="FFF4EFE4"/>
      <rgbColor rgb="FFCCFFFF"/>
      <rgbColor rgb="FF5C1A23"/>
      <rgbColor rgb="FFE0699A"/>
      <rgbColor rgb="FF1E5BD0"/>
      <rgbColor rgb="FFD0D0D0"/>
      <rgbColor rgb="FF141013"/>
      <rgbColor rgb="FFFF00FF"/>
      <rgbColor rgb="FFFFFF00"/>
      <rgbColor rgb="FF00FFFF"/>
      <rgbColor rgb="FF5A3A1E"/>
      <rgbColor rgb="FF5A3820"/>
      <rgbColor rgb="FF0F6B4A"/>
      <rgbColor rgb="FF2A1A12"/>
      <rgbColor rgb="FF3A6FB8"/>
      <rgbColor rgb="FFCCFFFF"/>
      <rgbColor rgb="FFF1ECE1"/>
      <rgbColor rgb="FFE6DCC2"/>
      <rgbColor rgb="FFA06A44"/>
      <rgbColor rgb="FFE8B48A"/>
      <rgbColor rgb="FFC49A5C"/>
      <rgbColor rgb="FFF0C9A4"/>
      <rgbColor rgb="FF2457C9"/>
      <rgbColor rgb="FF4AA3DF"/>
      <rgbColor rgb="FFC9A25A"/>
      <rgbColor rgb="FFFFC83A"/>
      <rgbColor rgb="FFD59A6C"/>
      <rgbColor rgb="FFE8762B"/>
      <rgbColor rgb="FF666666"/>
      <rgbColor rgb="FF8D8B88"/>
      <rgbColor rgb="FF1B2A55"/>
      <rgbColor rgb="FF2F8F4E"/>
      <rgbColor rgb="FF17181D"/>
      <rgbColor rgb="FF2A1A10"/>
      <rgbColor rgb="FF7A3016"/>
      <rgbColor rgb="FF8A5636"/>
      <rgbColor rgb="FF6A3FB5"/>
      <rgbColor rgb="FF1B1D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16"/>
    <col collapsed="false" customWidth="true" hidden="false" outlineLevel="0" max="11" min="9" style="0" width="9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6" min="15" style="0" width="12"/>
    <col collapsed="false" customWidth="true" hidden="false" outlineLevel="0" max="17" min="17" style="0" width="15"/>
    <col collapsed="false" customWidth="true" hidden="false" outlineLevel="0" max="18" min="18" style="0" width="10"/>
    <col collapsed="false" customWidth="true" hidden="false" outlineLevel="0" max="20" min="19" style="0" width="11"/>
    <col collapsed="false" customWidth="true" hidden="false" outlineLevel="0" max="21" min="21" style="0" width="22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4" min="24" style="0" width="11"/>
    <col collapsed="false" customWidth="true" hidden="false" outlineLevel="0" max="25" min="25" style="0" width="12"/>
    <col collapsed="false" customWidth="true" hidden="false" outlineLevel="0" max="26" min="26" style="0" width="10"/>
    <col collapsed="false" customWidth="true" hidden="false" outlineLevel="0" max="27" min="27" style="0" width="11"/>
    <col collapsed="false" customWidth="true" hidden="false" outlineLevel="0" max="28" min="28" style="0" width="16"/>
    <col collapsed="false" customWidth="true" hidden="false" outlineLevel="0" max="29" min="29" style="0" width="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27.75" hidden="false" customHeight="true" outlineLevel="0" collapsed="false">
      <c r="A2" s="2" t="s">
        <v>29</v>
      </c>
      <c r="B2" s="2" t="n">
        <v>1</v>
      </c>
      <c r="C2" s="2" t="s">
        <v>30</v>
      </c>
      <c r="D2" s="2" t="s">
        <v>31</v>
      </c>
      <c r="E2" s="2" t="s">
        <v>32</v>
      </c>
      <c r="F2" s="2" t="s">
        <v>33</v>
      </c>
      <c r="G2" s="3" t="s">
        <v>34</v>
      </c>
      <c r="H2" s="2" t="s">
        <v>35</v>
      </c>
      <c r="I2" s="4" t="n">
        <v>0.45</v>
      </c>
      <c r="J2" s="2" t="n">
        <f aca="false">MAX(1,MIN(10,ROUND(I2*8+IF(A2="Amateur",0.5,1),0)))</f>
        <v>4</v>
      </c>
      <c r="K2" s="5" t="n">
        <v>1</v>
      </c>
      <c r="L2" s="5" t="n">
        <v>1</v>
      </c>
      <c r="M2" s="6" t="n">
        <f aca="false">1/K2</f>
        <v>1</v>
      </c>
      <c r="N2" s="2" t="s">
        <v>36</v>
      </c>
      <c r="O2" s="7" t="s">
        <v>37</v>
      </c>
      <c r="P2" s="2" t="s">
        <v>38</v>
      </c>
      <c r="Q2" s="2" t="s">
        <v>39</v>
      </c>
      <c r="R2" s="2" t="s">
        <v>40</v>
      </c>
      <c r="S2" s="8" t="s">
        <v>41</v>
      </c>
      <c r="T2" s="9" t="s">
        <v>42</v>
      </c>
      <c r="U2" s="2" t="s">
        <v>43</v>
      </c>
      <c r="V2" s="2" t="s">
        <v>44</v>
      </c>
      <c r="W2" s="10" t="s">
        <v>45</v>
      </c>
      <c r="X2" s="11" t="s">
        <v>46</v>
      </c>
      <c r="Y2" s="10" t="s">
        <v>47</v>
      </c>
      <c r="Z2" s="2" t="s">
        <v>48</v>
      </c>
      <c r="AA2" s="11" t="s">
        <v>46</v>
      </c>
      <c r="AB2" s="2" t="s">
        <v>49</v>
      </c>
      <c r="AC2" s="12" t="s">
        <v>50</v>
      </c>
    </row>
    <row r="3" customFormat="false" ht="27.75" hidden="false" customHeight="true" outlineLevel="0" collapsed="false">
      <c r="A3" s="2" t="s">
        <v>29</v>
      </c>
      <c r="B3" s="2" t="n">
        <v>2</v>
      </c>
      <c r="C3" s="2" t="s">
        <v>51</v>
      </c>
      <c r="D3" s="2" t="s">
        <v>52</v>
      </c>
      <c r="E3" s="2" t="s">
        <v>53</v>
      </c>
      <c r="F3" s="2" t="s">
        <v>54</v>
      </c>
      <c r="G3" s="3" t="s">
        <v>55</v>
      </c>
      <c r="H3" s="2" t="s">
        <v>56</v>
      </c>
      <c r="I3" s="4" t="n">
        <v>0.418</v>
      </c>
      <c r="J3" s="2" t="n">
        <f aca="false">MAX(1,MIN(10,ROUND(I3*8+IF(A3="Amateur",0.5,1),0)))</f>
        <v>4</v>
      </c>
      <c r="K3" s="5" t="n">
        <v>1</v>
      </c>
      <c r="L3" s="5" t="n">
        <v>0.993</v>
      </c>
      <c r="M3" s="6" t="n">
        <f aca="false">1/K3</f>
        <v>1</v>
      </c>
      <c r="N3" s="2" t="s">
        <v>57</v>
      </c>
      <c r="O3" s="13" t="s">
        <v>42</v>
      </c>
      <c r="P3" s="2" t="s">
        <v>38</v>
      </c>
      <c r="Q3" s="2" t="s">
        <v>58</v>
      </c>
      <c r="R3" s="2" t="s">
        <v>59</v>
      </c>
      <c r="S3" s="14" t="s">
        <v>60</v>
      </c>
      <c r="T3" s="15" t="s">
        <v>61</v>
      </c>
      <c r="U3" s="2" t="s">
        <v>62</v>
      </c>
      <c r="V3" s="2" t="s">
        <v>44</v>
      </c>
      <c r="W3" s="16" t="s">
        <v>63</v>
      </c>
      <c r="X3" s="17" t="s">
        <v>64</v>
      </c>
      <c r="Y3" s="16" t="s">
        <v>65</v>
      </c>
      <c r="Z3" s="2" t="s">
        <v>66</v>
      </c>
      <c r="AA3" s="17" t="s">
        <v>64</v>
      </c>
      <c r="AB3" s="2" t="s">
        <v>67</v>
      </c>
      <c r="AC3" s="18" t="s">
        <v>68</v>
      </c>
    </row>
    <row r="4" customFormat="false" ht="27.75" hidden="false" customHeight="true" outlineLevel="0" collapsed="false">
      <c r="A4" s="2" t="s">
        <v>29</v>
      </c>
      <c r="B4" s="2" t="n">
        <v>3</v>
      </c>
      <c r="C4" s="2" t="s">
        <v>69</v>
      </c>
      <c r="D4" s="2" t="s">
        <v>70</v>
      </c>
      <c r="E4" s="2" t="s">
        <v>71</v>
      </c>
      <c r="F4" s="2" t="s">
        <v>72</v>
      </c>
      <c r="G4" s="3" t="s">
        <v>73</v>
      </c>
      <c r="H4" s="2" t="s">
        <v>74</v>
      </c>
      <c r="I4" s="4" t="n">
        <v>0.386</v>
      </c>
      <c r="J4" s="2" t="n">
        <f aca="false">MAX(1,MIN(10,ROUND(I4*8+IF(A4="Amateur",0.5,1),0)))</f>
        <v>4</v>
      </c>
      <c r="K4" s="5" t="n">
        <v>1</v>
      </c>
      <c r="L4" s="5" t="n">
        <v>1.104</v>
      </c>
      <c r="M4" s="6" t="n">
        <f aca="false">1/K4</f>
        <v>1</v>
      </c>
      <c r="N4" s="2" t="s">
        <v>75</v>
      </c>
      <c r="O4" s="7" t="s">
        <v>37</v>
      </c>
      <c r="P4" s="2" t="s">
        <v>38</v>
      </c>
      <c r="Q4" s="2" t="s">
        <v>76</v>
      </c>
      <c r="R4" s="2" t="s">
        <v>59</v>
      </c>
      <c r="S4" s="8" t="s">
        <v>41</v>
      </c>
      <c r="T4" s="19" t="s">
        <v>77</v>
      </c>
      <c r="U4" s="2" t="s">
        <v>78</v>
      </c>
      <c r="V4" s="2" t="s">
        <v>44</v>
      </c>
      <c r="W4" s="20" t="s">
        <v>79</v>
      </c>
      <c r="X4" s="21" t="s">
        <v>80</v>
      </c>
      <c r="Y4" s="20" t="s">
        <v>81</v>
      </c>
      <c r="Z4" s="2" t="s">
        <v>48</v>
      </c>
      <c r="AA4" s="21" t="s">
        <v>80</v>
      </c>
      <c r="AB4" s="2" t="s">
        <v>82</v>
      </c>
      <c r="AC4" s="18" t="s">
        <v>68</v>
      </c>
    </row>
    <row r="5" customFormat="false" ht="27.75" hidden="false" customHeight="true" outlineLevel="0" collapsed="false">
      <c r="A5" s="2" t="s">
        <v>29</v>
      </c>
      <c r="B5" s="2" t="n">
        <v>4</v>
      </c>
      <c r="C5" s="2" t="s">
        <v>83</v>
      </c>
      <c r="D5" s="2" t="s">
        <v>84</v>
      </c>
      <c r="E5" s="2" t="s">
        <v>85</v>
      </c>
      <c r="F5" s="2" t="s">
        <v>54</v>
      </c>
      <c r="G5" s="3" t="s">
        <v>55</v>
      </c>
      <c r="H5" s="2" t="s">
        <v>86</v>
      </c>
      <c r="I5" s="4" t="n">
        <v>0.354</v>
      </c>
      <c r="J5" s="2" t="n">
        <f aca="false">MAX(1,MIN(10,ROUND(I5*8+IF(A5="Amateur",0.5,1),0)))</f>
        <v>3</v>
      </c>
      <c r="K5" s="5" t="n">
        <v>1</v>
      </c>
      <c r="L5" s="5" t="n">
        <v>0.979</v>
      </c>
      <c r="M5" s="6" t="n">
        <f aca="false">1/K5</f>
        <v>1</v>
      </c>
      <c r="N5" s="2" t="s">
        <v>87</v>
      </c>
      <c r="O5" s="2"/>
      <c r="P5" s="2" t="s">
        <v>38</v>
      </c>
      <c r="Q5" s="2" t="s">
        <v>88</v>
      </c>
      <c r="R5" s="2" t="s">
        <v>59</v>
      </c>
      <c r="S5" s="22" t="s">
        <v>89</v>
      </c>
      <c r="T5" s="23" t="s">
        <v>45</v>
      </c>
      <c r="U5" s="2" t="s">
        <v>90</v>
      </c>
      <c r="V5" s="2" t="s">
        <v>91</v>
      </c>
      <c r="W5" s="24" t="s">
        <v>50</v>
      </c>
      <c r="X5" s="25" t="s">
        <v>92</v>
      </c>
      <c r="Y5" s="2" t="s">
        <v>93</v>
      </c>
      <c r="Z5" s="2" t="s">
        <v>48</v>
      </c>
      <c r="AA5" s="11" t="s">
        <v>46</v>
      </c>
      <c r="AB5" s="2" t="s">
        <v>49</v>
      </c>
      <c r="AC5" s="12" t="s">
        <v>50</v>
      </c>
    </row>
    <row r="6" customFormat="false" ht="27.75" hidden="false" customHeight="true" outlineLevel="0" collapsed="false">
      <c r="A6" s="2" t="s">
        <v>29</v>
      </c>
      <c r="B6" s="2" t="n">
        <v>5</v>
      </c>
      <c r="C6" s="2" t="s">
        <v>94</v>
      </c>
      <c r="D6" s="2" t="s">
        <v>95</v>
      </c>
      <c r="E6" s="2" t="s">
        <v>96</v>
      </c>
      <c r="F6" s="2" t="s">
        <v>97</v>
      </c>
      <c r="G6" s="3" t="s">
        <v>98</v>
      </c>
      <c r="H6" s="2" t="s">
        <v>56</v>
      </c>
      <c r="I6" s="4" t="n">
        <v>0.321</v>
      </c>
      <c r="J6" s="2" t="n">
        <f aca="false">MAX(1,MIN(10,ROUND(I6*8+IF(A6="Amateur",0.5,1),0)))</f>
        <v>3</v>
      </c>
      <c r="K6" s="5" t="n">
        <v>1.08</v>
      </c>
      <c r="L6" s="5" t="n">
        <v>0.971</v>
      </c>
      <c r="M6" s="6" t="n">
        <f aca="false">1/K6</f>
        <v>0.925925925925926</v>
      </c>
      <c r="N6" s="2" t="s">
        <v>99</v>
      </c>
      <c r="O6" s="26" t="s">
        <v>100</v>
      </c>
      <c r="P6" s="2" t="s">
        <v>38</v>
      </c>
      <c r="Q6" s="2" t="s">
        <v>58</v>
      </c>
      <c r="R6" s="2" t="s">
        <v>59</v>
      </c>
      <c r="S6" s="22" t="s">
        <v>89</v>
      </c>
      <c r="T6" s="23" t="s">
        <v>45</v>
      </c>
      <c r="U6" s="2" t="s">
        <v>101</v>
      </c>
      <c r="V6" s="2" t="s">
        <v>91</v>
      </c>
      <c r="W6" s="26" t="s">
        <v>102</v>
      </c>
      <c r="X6" s="24" t="s">
        <v>50</v>
      </c>
      <c r="Y6" s="2" t="s">
        <v>93</v>
      </c>
      <c r="Z6" s="2" t="s">
        <v>66</v>
      </c>
      <c r="AA6" s="11" t="s">
        <v>46</v>
      </c>
      <c r="AB6" s="2" t="s">
        <v>103</v>
      </c>
      <c r="AC6" s="12" t="s">
        <v>50</v>
      </c>
    </row>
    <row r="7" customFormat="false" ht="27.75" hidden="false" customHeight="true" outlineLevel="0" collapsed="false">
      <c r="A7" s="2" t="s">
        <v>29</v>
      </c>
      <c r="B7" s="2" t="n">
        <v>6</v>
      </c>
      <c r="C7" s="2" t="s">
        <v>104</v>
      </c>
      <c r="D7" s="2" t="s">
        <v>105</v>
      </c>
      <c r="E7" s="2" t="s">
        <v>106</v>
      </c>
      <c r="F7" s="2" t="s">
        <v>107</v>
      </c>
      <c r="G7" s="3" t="s">
        <v>108</v>
      </c>
      <c r="H7" s="2" t="s">
        <v>109</v>
      </c>
      <c r="I7" s="4" t="n">
        <v>0.289</v>
      </c>
      <c r="J7" s="2" t="n">
        <f aca="false">MAX(1,MIN(10,ROUND(I7*8+IF(A7="Amateur",0.5,1),0)))</f>
        <v>3</v>
      </c>
      <c r="K7" s="5" t="n">
        <v>1</v>
      </c>
      <c r="L7" s="5" t="n">
        <v>0.964</v>
      </c>
      <c r="M7" s="6" t="n">
        <f aca="false">1/K7</f>
        <v>1</v>
      </c>
      <c r="N7" s="2" t="s">
        <v>110</v>
      </c>
      <c r="O7" s="27" t="s">
        <v>111</v>
      </c>
      <c r="P7" s="2" t="s">
        <v>38</v>
      </c>
      <c r="Q7" s="2" t="s">
        <v>58</v>
      </c>
      <c r="R7" s="2" t="s">
        <v>59</v>
      </c>
      <c r="S7" s="28" t="s">
        <v>112</v>
      </c>
      <c r="T7" s="9" t="s">
        <v>42</v>
      </c>
      <c r="U7" s="2" t="s">
        <v>113</v>
      </c>
      <c r="V7" s="2" t="s">
        <v>44</v>
      </c>
      <c r="W7" s="10" t="s">
        <v>45</v>
      </c>
      <c r="X7" s="20" t="s">
        <v>79</v>
      </c>
      <c r="Y7" s="10" t="s">
        <v>47</v>
      </c>
      <c r="Z7" s="2" t="s">
        <v>48</v>
      </c>
      <c r="AA7" s="20" t="s">
        <v>79</v>
      </c>
      <c r="AB7" s="2" t="s">
        <v>114</v>
      </c>
      <c r="AC7" s="29" t="s">
        <v>46</v>
      </c>
    </row>
    <row r="8" customFormat="false" ht="27.75" hidden="false" customHeight="true" outlineLevel="0" collapsed="false">
      <c r="A8" s="2" t="s">
        <v>29</v>
      </c>
      <c r="B8" s="2" t="n">
        <v>7</v>
      </c>
      <c r="C8" s="2" t="s">
        <v>115</v>
      </c>
      <c r="D8" s="2" t="s">
        <v>116</v>
      </c>
      <c r="E8" s="2" t="s">
        <v>32</v>
      </c>
      <c r="F8" s="2" t="s">
        <v>117</v>
      </c>
      <c r="G8" s="3" t="s">
        <v>118</v>
      </c>
      <c r="H8" s="2" t="s">
        <v>119</v>
      </c>
      <c r="I8" s="4" t="n">
        <v>0.257</v>
      </c>
      <c r="J8" s="2" t="n">
        <f aca="false">MAX(1,MIN(10,ROUND(I8*8+IF(A8="Amateur",0.5,1),0)))</f>
        <v>3</v>
      </c>
      <c r="K8" s="5" t="n">
        <v>1</v>
      </c>
      <c r="L8" s="5" t="n">
        <v>0.861</v>
      </c>
      <c r="M8" s="6" t="n">
        <f aca="false">1/K8</f>
        <v>1</v>
      </c>
      <c r="N8" s="2" t="s">
        <v>87</v>
      </c>
      <c r="O8" s="2"/>
      <c r="P8" s="2" t="s">
        <v>38</v>
      </c>
      <c r="Q8" s="2" t="s">
        <v>120</v>
      </c>
      <c r="R8" s="2" t="s">
        <v>59</v>
      </c>
      <c r="S8" s="8" t="s">
        <v>41</v>
      </c>
      <c r="T8" s="19" t="s">
        <v>77</v>
      </c>
      <c r="U8" s="2" t="s">
        <v>90</v>
      </c>
      <c r="V8" s="2" t="s">
        <v>91</v>
      </c>
      <c r="W8" s="30" t="s">
        <v>121</v>
      </c>
      <c r="X8" s="17" t="s">
        <v>64</v>
      </c>
      <c r="Y8" s="30" t="s">
        <v>122</v>
      </c>
      <c r="Z8" s="2" t="s">
        <v>66</v>
      </c>
      <c r="AA8" s="17" t="s">
        <v>64</v>
      </c>
      <c r="AB8" s="2" t="s">
        <v>123</v>
      </c>
      <c r="AC8" s="29" t="s">
        <v>46</v>
      </c>
    </row>
    <row r="9" customFormat="false" ht="27.75" hidden="false" customHeight="true" outlineLevel="0" collapsed="false">
      <c r="A9" s="2" t="s">
        <v>29</v>
      </c>
      <c r="B9" s="2" t="n">
        <v>8</v>
      </c>
      <c r="C9" s="2" t="s">
        <v>124</v>
      </c>
      <c r="D9" s="2" t="s">
        <v>125</v>
      </c>
      <c r="E9" s="2" t="s">
        <v>126</v>
      </c>
      <c r="F9" s="2" t="s">
        <v>127</v>
      </c>
      <c r="G9" s="3" t="s">
        <v>128</v>
      </c>
      <c r="H9" s="2" t="s">
        <v>119</v>
      </c>
      <c r="I9" s="4" t="n">
        <v>0.225</v>
      </c>
      <c r="J9" s="2" t="n">
        <f aca="false">MAX(1,MIN(10,ROUND(I9*8+IF(A9="Amateur",0.5,1),0)))</f>
        <v>2</v>
      </c>
      <c r="K9" s="5" t="n">
        <v>1</v>
      </c>
      <c r="L9" s="5" t="n">
        <v>0.95</v>
      </c>
      <c r="M9" s="6" t="n">
        <f aca="false">1/K9</f>
        <v>1</v>
      </c>
      <c r="N9" s="2" t="s">
        <v>129</v>
      </c>
      <c r="O9" s="31" t="s">
        <v>130</v>
      </c>
      <c r="P9" s="2" t="s">
        <v>38</v>
      </c>
      <c r="Q9" s="2" t="s">
        <v>131</v>
      </c>
      <c r="R9" s="2" t="s">
        <v>59</v>
      </c>
      <c r="S9" s="22" t="s">
        <v>89</v>
      </c>
      <c r="T9" s="19" t="s">
        <v>77</v>
      </c>
      <c r="U9" s="2" t="s">
        <v>132</v>
      </c>
      <c r="V9" s="2" t="s">
        <v>44</v>
      </c>
      <c r="W9" s="30" t="s">
        <v>121</v>
      </c>
      <c r="X9" s="32" t="s">
        <v>133</v>
      </c>
      <c r="Y9" s="2" t="s">
        <v>93</v>
      </c>
      <c r="Z9" s="2" t="s">
        <v>48</v>
      </c>
      <c r="AA9" s="32" t="s">
        <v>133</v>
      </c>
      <c r="AB9" s="2" t="s">
        <v>123</v>
      </c>
      <c r="AC9" s="12" t="s">
        <v>50</v>
      </c>
    </row>
    <row r="10" customFormat="false" ht="27.75" hidden="false" customHeight="true" outlineLevel="0" collapsed="false">
      <c r="A10" s="2" t="s">
        <v>29</v>
      </c>
      <c r="B10" s="2" t="n">
        <v>9</v>
      </c>
      <c r="C10" s="2" t="s">
        <v>134</v>
      </c>
      <c r="D10" s="2" t="s">
        <v>135</v>
      </c>
      <c r="E10" s="2" t="s">
        <v>136</v>
      </c>
      <c r="F10" s="2" t="s">
        <v>33</v>
      </c>
      <c r="G10" s="3" t="s">
        <v>34</v>
      </c>
      <c r="H10" s="2" t="s">
        <v>137</v>
      </c>
      <c r="I10" s="4" t="n">
        <v>0.193</v>
      </c>
      <c r="J10" s="2" t="n">
        <f aca="false">MAX(1,MIN(10,ROUND(I10*8+IF(A10="Amateur",0.5,1),0)))</f>
        <v>2</v>
      </c>
      <c r="K10" s="5" t="n">
        <v>1</v>
      </c>
      <c r="L10" s="5" t="n">
        <v>0.943</v>
      </c>
      <c r="M10" s="6" t="n">
        <f aca="false">1/K10</f>
        <v>1</v>
      </c>
      <c r="N10" s="2" t="s">
        <v>87</v>
      </c>
      <c r="O10" s="2"/>
      <c r="P10" s="2" t="s">
        <v>38</v>
      </c>
      <c r="Q10" s="2" t="s">
        <v>120</v>
      </c>
      <c r="R10" s="2" t="s">
        <v>59</v>
      </c>
      <c r="S10" s="8" t="s">
        <v>41</v>
      </c>
      <c r="T10" s="19" t="s">
        <v>77</v>
      </c>
      <c r="U10" s="2" t="s">
        <v>138</v>
      </c>
      <c r="V10" s="2" t="s">
        <v>44</v>
      </c>
      <c r="W10" s="24" t="s">
        <v>50</v>
      </c>
      <c r="X10" s="33" t="s">
        <v>139</v>
      </c>
      <c r="Y10" s="24" t="s">
        <v>140</v>
      </c>
      <c r="Z10" s="2" t="s">
        <v>48</v>
      </c>
      <c r="AA10" s="24" t="s">
        <v>50</v>
      </c>
      <c r="AB10" s="2" t="s">
        <v>67</v>
      </c>
      <c r="AC10" s="12" t="s">
        <v>50</v>
      </c>
    </row>
    <row r="11" customFormat="false" ht="27.75" hidden="false" customHeight="true" outlineLevel="0" collapsed="false">
      <c r="A11" s="2" t="s">
        <v>29</v>
      </c>
      <c r="B11" s="2" t="n">
        <v>10</v>
      </c>
      <c r="C11" s="2" t="s">
        <v>141</v>
      </c>
      <c r="D11" s="2" t="s">
        <v>142</v>
      </c>
      <c r="E11" s="2" t="s">
        <v>143</v>
      </c>
      <c r="F11" s="2" t="s">
        <v>144</v>
      </c>
      <c r="G11" s="3" t="s">
        <v>145</v>
      </c>
      <c r="H11" s="2" t="s">
        <v>146</v>
      </c>
      <c r="I11" s="4" t="n">
        <v>0.161</v>
      </c>
      <c r="J11" s="2" t="n">
        <f aca="false">MAX(1,MIN(10,ROUND(I11*8+IF(A11="Amateur",0.5,1),0)))</f>
        <v>2</v>
      </c>
      <c r="K11" s="5" t="n">
        <v>1</v>
      </c>
      <c r="L11" s="5" t="n">
        <v>0.936</v>
      </c>
      <c r="M11" s="6" t="n">
        <f aca="false">1/K11</f>
        <v>1</v>
      </c>
      <c r="N11" s="2" t="s">
        <v>99</v>
      </c>
      <c r="O11" s="13" t="s">
        <v>42</v>
      </c>
      <c r="P11" s="2" t="s">
        <v>147</v>
      </c>
      <c r="Q11" s="2" t="s">
        <v>39</v>
      </c>
      <c r="R11" s="2" t="s">
        <v>59</v>
      </c>
      <c r="S11" s="8" t="s">
        <v>41</v>
      </c>
      <c r="T11" s="34" t="s">
        <v>41</v>
      </c>
      <c r="U11" s="2" t="s">
        <v>62</v>
      </c>
      <c r="V11" s="2" t="s">
        <v>44</v>
      </c>
      <c r="W11" s="35" t="s">
        <v>148</v>
      </c>
      <c r="X11" s="36" t="s">
        <v>77</v>
      </c>
      <c r="Y11" s="35" t="s">
        <v>149</v>
      </c>
      <c r="Z11" s="2" t="s">
        <v>66</v>
      </c>
      <c r="AA11" s="11" t="s">
        <v>46</v>
      </c>
      <c r="AB11" s="2" t="s">
        <v>150</v>
      </c>
      <c r="AC11" s="12" t="s">
        <v>50</v>
      </c>
    </row>
    <row r="12" customFormat="false" ht="27.75" hidden="false" customHeight="true" outlineLevel="0" collapsed="false">
      <c r="A12" s="2" t="s">
        <v>29</v>
      </c>
      <c r="B12" s="2" t="n">
        <v>11</v>
      </c>
      <c r="C12" s="2" t="s">
        <v>151</v>
      </c>
      <c r="D12" s="2" t="s">
        <v>152</v>
      </c>
      <c r="E12" s="2" t="s">
        <v>153</v>
      </c>
      <c r="F12" s="2" t="s">
        <v>72</v>
      </c>
      <c r="G12" s="3" t="s">
        <v>73</v>
      </c>
      <c r="H12" s="2" t="s">
        <v>154</v>
      </c>
      <c r="I12" s="4" t="n">
        <v>0.129</v>
      </c>
      <c r="J12" s="2" t="n">
        <f aca="false">MAX(1,MIN(10,ROUND(I12*8+IF(A12="Amateur",0.5,1),0)))</f>
        <v>2</v>
      </c>
      <c r="K12" s="5" t="n">
        <v>1</v>
      </c>
      <c r="L12" s="5" t="n">
        <v>1.04</v>
      </c>
      <c r="M12" s="6" t="n">
        <f aca="false">1/K12</f>
        <v>1</v>
      </c>
      <c r="N12" s="2" t="s">
        <v>75</v>
      </c>
      <c r="O12" s="7" t="s">
        <v>37</v>
      </c>
      <c r="P12" s="2" t="s">
        <v>38</v>
      </c>
      <c r="Q12" s="2" t="s">
        <v>120</v>
      </c>
      <c r="R12" s="2" t="s">
        <v>59</v>
      </c>
      <c r="S12" s="37" t="s">
        <v>130</v>
      </c>
      <c r="T12" s="19" t="s">
        <v>77</v>
      </c>
      <c r="U12" s="2" t="s">
        <v>155</v>
      </c>
      <c r="V12" s="2" t="s">
        <v>44</v>
      </c>
      <c r="W12" s="16" t="s">
        <v>63</v>
      </c>
      <c r="X12" s="26" t="s">
        <v>102</v>
      </c>
      <c r="Y12" s="16" t="s">
        <v>65</v>
      </c>
      <c r="Z12" s="2" t="s">
        <v>48</v>
      </c>
      <c r="AA12" s="24" t="s">
        <v>50</v>
      </c>
      <c r="AB12" s="2" t="s">
        <v>156</v>
      </c>
      <c r="AC12" s="29" t="s">
        <v>46</v>
      </c>
    </row>
    <row r="13" customFormat="false" ht="27.75" hidden="false" customHeight="true" outlineLevel="0" collapsed="false">
      <c r="A13" s="2" t="s">
        <v>29</v>
      </c>
      <c r="B13" s="2" t="n">
        <v>12</v>
      </c>
      <c r="C13" s="2" t="s">
        <v>157</v>
      </c>
      <c r="D13" s="2" t="s">
        <v>158</v>
      </c>
      <c r="E13" s="2" t="s">
        <v>159</v>
      </c>
      <c r="F13" s="2" t="s">
        <v>144</v>
      </c>
      <c r="G13" s="3" t="s">
        <v>145</v>
      </c>
      <c r="H13" s="2" t="s">
        <v>146</v>
      </c>
      <c r="I13" s="4" t="n">
        <v>0.096</v>
      </c>
      <c r="J13" s="2" t="n">
        <f aca="false">MAX(1,MIN(10,ROUND(I13*8+IF(A13="Amateur",0.5,1),0)))</f>
        <v>1</v>
      </c>
      <c r="K13" s="5" t="n">
        <v>1</v>
      </c>
      <c r="L13" s="5" t="n">
        <v>0.921</v>
      </c>
      <c r="M13" s="6" t="n">
        <f aca="false">1/K13</f>
        <v>1</v>
      </c>
      <c r="N13" s="2" t="s">
        <v>160</v>
      </c>
      <c r="O13" s="38" t="s">
        <v>161</v>
      </c>
      <c r="P13" s="2" t="s">
        <v>38</v>
      </c>
      <c r="Q13" s="2" t="s">
        <v>131</v>
      </c>
      <c r="R13" s="2" t="s">
        <v>59</v>
      </c>
      <c r="S13" s="39" t="s">
        <v>162</v>
      </c>
      <c r="T13" s="19" t="s">
        <v>77</v>
      </c>
      <c r="U13" s="2" t="s">
        <v>155</v>
      </c>
      <c r="V13" s="2" t="s">
        <v>44</v>
      </c>
      <c r="W13" s="24" t="s">
        <v>50</v>
      </c>
      <c r="X13" s="35" t="s">
        <v>148</v>
      </c>
      <c r="Y13" s="24" t="s">
        <v>140</v>
      </c>
      <c r="Z13" s="2" t="s">
        <v>66</v>
      </c>
      <c r="AA13" s="35" t="s">
        <v>148</v>
      </c>
      <c r="AB13" s="2" t="s">
        <v>163</v>
      </c>
      <c r="AC13" s="12" t="s">
        <v>50</v>
      </c>
    </row>
    <row r="14" customFormat="false" ht="27.75" hidden="false" customHeight="true" outlineLevel="0" collapsed="false">
      <c r="A14" s="2" t="s">
        <v>29</v>
      </c>
      <c r="B14" s="2" t="n">
        <v>13</v>
      </c>
      <c r="C14" s="2" t="s">
        <v>164</v>
      </c>
      <c r="D14" s="2" t="s">
        <v>165</v>
      </c>
      <c r="E14" s="2" t="s">
        <v>53</v>
      </c>
      <c r="F14" s="2" t="s">
        <v>166</v>
      </c>
      <c r="G14" s="3" t="s">
        <v>167</v>
      </c>
      <c r="H14" s="2" t="s">
        <v>137</v>
      </c>
      <c r="I14" s="4" t="n">
        <v>0.064</v>
      </c>
      <c r="J14" s="2" t="n">
        <f aca="false">MAX(1,MIN(10,ROUND(I14*8+IF(A14="Amateur",0.5,1),0)))</f>
        <v>1</v>
      </c>
      <c r="K14" s="5" t="n">
        <v>1</v>
      </c>
      <c r="L14" s="5" t="n">
        <v>0.914</v>
      </c>
      <c r="M14" s="6" t="n">
        <f aca="false">1/K14</f>
        <v>1</v>
      </c>
      <c r="N14" s="2" t="s">
        <v>99</v>
      </c>
      <c r="O14" s="13" t="s">
        <v>42</v>
      </c>
      <c r="P14" s="2" t="s">
        <v>38</v>
      </c>
      <c r="Q14" s="2" t="s">
        <v>131</v>
      </c>
      <c r="R14" s="2" t="s">
        <v>59</v>
      </c>
      <c r="S14" s="14" t="s">
        <v>60</v>
      </c>
      <c r="T14" s="19" t="s">
        <v>77</v>
      </c>
      <c r="U14" s="2" t="s">
        <v>62</v>
      </c>
      <c r="V14" s="2" t="s">
        <v>91</v>
      </c>
      <c r="W14" s="33" t="s">
        <v>139</v>
      </c>
      <c r="X14" s="25" t="s">
        <v>92</v>
      </c>
      <c r="Y14" s="2" t="s">
        <v>93</v>
      </c>
      <c r="Z14" s="2" t="s">
        <v>66</v>
      </c>
      <c r="AA14" s="24" t="s">
        <v>50</v>
      </c>
      <c r="AB14" s="2" t="s">
        <v>168</v>
      </c>
      <c r="AC14" s="12" t="s">
        <v>50</v>
      </c>
    </row>
    <row r="15" customFormat="false" ht="27.75" hidden="false" customHeight="true" outlineLevel="0" collapsed="false">
      <c r="A15" s="2" t="s">
        <v>29</v>
      </c>
      <c r="B15" s="2" t="n">
        <v>14</v>
      </c>
      <c r="C15" s="2" t="s">
        <v>169</v>
      </c>
      <c r="D15" s="2" t="s">
        <v>170</v>
      </c>
      <c r="E15" s="2" t="s">
        <v>171</v>
      </c>
      <c r="F15" s="2" t="s">
        <v>166</v>
      </c>
      <c r="G15" s="3" t="s">
        <v>167</v>
      </c>
      <c r="H15" s="2" t="s">
        <v>74</v>
      </c>
      <c r="I15" s="4" t="n">
        <v>0.032</v>
      </c>
      <c r="J15" s="2" t="n">
        <f aca="false">MAX(1,MIN(10,ROUND(I15*8+IF(A15="Amateur",0.5,1),0)))</f>
        <v>1</v>
      </c>
      <c r="K15" s="5" t="n">
        <v>1</v>
      </c>
      <c r="L15" s="5" t="n">
        <v>0.907</v>
      </c>
      <c r="M15" s="6" t="n">
        <f aca="false">1/K15</f>
        <v>1</v>
      </c>
      <c r="N15" s="2" t="s">
        <v>172</v>
      </c>
      <c r="O15" s="40" t="s">
        <v>41</v>
      </c>
      <c r="P15" s="2" t="s">
        <v>38</v>
      </c>
      <c r="Q15" s="2" t="s">
        <v>58</v>
      </c>
      <c r="R15" s="2" t="s">
        <v>59</v>
      </c>
      <c r="S15" s="22" t="s">
        <v>89</v>
      </c>
      <c r="T15" s="41" t="s">
        <v>130</v>
      </c>
      <c r="U15" s="2" t="s">
        <v>90</v>
      </c>
      <c r="V15" s="2" t="s">
        <v>91</v>
      </c>
      <c r="W15" s="42" t="s">
        <v>173</v>
      </c>
      <c r="X15" s="16" t="s">
        <v>63</v>
      </c>
      <c r="Y15" s="42" t="s">
        <v>174</v>
      </c>
      <c r="Z15" s="2" t="s">
        <v>48</v>
      </c>
      <c r="AA15" s="16" t="s">
        <v>63</v>
      </c>
      <c r="AB15" s="2" t="s">
        <v>103</v>
      </c>
      <c r="AC15" s="18" t="s">
        <v>68</v>
      </c>
    </row>
    <row r="16" customFormat="false" ht="27.75" hidden="false" customHeight="true" outlineLevel="0" collapsed="false">
      <c r="A16" s="2" t="s">
        <v>29</v>
      </c>
      <c r="B16" s="2" t="n">
        <v>15</v>
      </c>
      <c r="C16" s="2" t="s">
        <v>175</v>
      </c>
      <c r="D16" s="2" t="s">
        <v>176</v>
      </c>
      <c r="E16" s="2" t="s">
        <v>143</v>
      </c>
      <c r="F16" s="2" t="s">
        <v>127</v>
      </c>
      <c r="G16" s="3" t="s">
        <v>128</v>
      </c>
      <c r="H16" s="2" t="s">
        <v>119</v>
      </c>
      <c r="I16" s="4" t="n">
        <v>0</v>
      </c>
      <c r="J16" s="2" t="n">
        <f aca="false">MAX(1,MIN(10,ROUND(I16*8+IF(A16="Amateur",0.5,1),0)))</f>
        <v>1</v>
      </c>
      <c r="K16" s="5" t="n">
        <v>1</v>
      </c>
      <c r="L16" s="5" t="n">
        <v>0.9</v>
      </c>
      <c r="M16" s="6" t="n">
        <f aca="false">1/K16</f>
        <v>1</v>
      </c>
      <c r="N16" s="2" t="s">
        <v>75</v>
      </c>
      <c r="O16" s="26" t="s">
        <v>100</v>
      </c>
      <c r="P16" s="2" t="s">
        <v>38</v>
      </c>
      <c r="Q16" s="2" t="s">
        <v>177</v>
      </c>
      <c r="R16" s="2" t="s">
        <v>59</v>
      </c>
      <c r="S16" s="28" t="s">
        <v>112</v>
      </c>
      <c r="T16" s="41" t="s">
        <v>130</v>
      </c>
      <c r="U16" s="2" t="s">
        <v>132</v>
      </c>
      <c r="V16" s="2" t="s">
        <v>44</v>
      </c>
      <c r="W16" s="24" t="s">
        <v>50</v>
      </c>
      <c r="X16" s="26" t="s">
        <v>102</v>
      </c>
      <c r="Y16" s="24" t="s">
        <v>140</v>
      </c>
      <c r="Z16" s="2" t="s">
        <v>66</v>
      </c>
      <c r="AA16" s="26" t="s">
        <v>102</v>
      </c>
      <c r="AB16" s="2" t="s">
        <v>178</v>
      </c>
      <c r="AC16" s="18" t="s">
        <v>68</v>
      </c>
    </row>
    <row r="17" customFormat="false" ht="27.75" hidden="false" customHeight="true" outlineLevel="0" collapsed="false">
      <c r="A17" s="2" t="s">
        <v>179</v>
      </c>
      <c r="B17" s="2" t="n">
        <v>1</v>
      </c>
      <c r="C17" s="2" t="s">
        <v>180</v>
      </c>
      <c r="D17" s="2" t="s">
        <v>181</v>
      </c>
      <c r="E17" s="2" t="s">
        <v>182</v>
      </c>
      <c r="F17" s="2" t="s">
        <v>72</v>
      </c>
      <c r="G17" s="3" t="s">
        <v>73</v>
      </c>
      <c r="H17" s="2" t="s">
        <v>74</v>
      </c>
      <c r="I17" s="4" t="n">
        <v>0.75</v>
      </c>
      <c r="J17" s="2" t="n">
        <f aca="false">MAX(1,MIN(10,ROUND(I17*8+IF(A17="Amateur",0.5,1),0)))</f>
        <v>7</v>
      </c>
      <c r="K17" s="5" t="n">
        <v>1.14</v>
      </c>
      <c r="L17" s="5" t="n">
        <v>1.21</v>
      </c>
      <c r="M17" s="6" t="n">
        <f aca="false">1/K17</f>
        <v>0.87719298245614</v>
      </c>
      <c r="N17" s="2" t="s">
        <v>183</v>
      </c>
      <c r="O17" s="38" t="s">
        <v>161</v>
      </c>
      <c r="P17" s="2" t="s">
        <v>147</v>
      </c>
      <c r="Q17" s="2" t="s">
        <v>131</v>
      </c>
      <c r="R17" s="2" t="s">
        <v>59</v>
      </c>
      <c r="S17" s="39" t="s">
        <v>162</v>
      </c>
      <c r="T17" s="23" t="s">
        <v>45</v>
      </c>
      <c r="U17" s="2" t="s">
        <v>155</v>
      </c>
      <c r="V17" s="2" t="s">
        <v>44</v>
      </c>
      <c r="W17" s="24" t="s">
        <v>50</v>
      </c>
      <c r="X17" s="43" t="s">
        <v>184</v>
      </c>
      <c r="Y17" s="2" t="s">
        <v>93</v>
      </c>
      <c r="Z17" s="2" t="s">
        <v>48</v>
      </c>
      <c r="AA17" s="43" t="s">
        <v>184</v>
      </c>
      <c r="AB17" s="2" t="s">
        <v>123</v>
      </c>
      <c r="AC17" s="12" t="s">
        <v>50</v>
      </c>
    </row>
    <row r="18" customFormat="false" ht="27.75" hidden="false" customHeight="true" outlineLevel="0" collapsed="false">
      <c r="A18" s="2" t="s">
        <v>179</v>
      </c>
      <c r="B18" s="2" t="n">
        <v>2</v>
      </c>
      <c r="C18" s="2" t="s">
        <v>185</v>
      </c>
      <c r="D18" s="2" t="s">
        <v>186</v>
      </c>
      <c r="E18" s="2" t="s">
        <v>153</v>
      </c>
      <c r="F18" s="2" t="s">
        <v>144</v>
      </c>
      <c r="G18" s="3" t="s">
        <v>145</v>
      </c>
      <c r="H18" s="2" t="s">
        <v>35</v>
      </c>
      <c r="I18" s="4" t="n">
        <v>0.721</v>
      </c>
      <c r="J18" s="2" t="n">
        <f aca="false">MAX(1,MIN(10,ROUND(I18*8+IF(A18="Amateur",0.5,1),0)))</f>
        <v>7</v>
      </c>
      <c r="K18" s="5" t="n">
        <v>1.133</v>
      </c>
      <c r="L18" s="5" t="n">
        <v>1.074</v>
      </c>
      <c r="M18" s="6" t="n">
        <f aca="false">1/K18</f>
        <v>0.88261253309797</v>
      </c>
      <c r="N18" s="2" t="s">
        <v>129</v>
      </c>
      <c r="O18" s="38" t="s">
        <v>161</v>
      </c>
      <c r="P18" s="2" t="s">
        <v>38</v>
      </c>
      <c r="Q18" s="2" t="s">
        <v>131</v>
      </c>
      <c r="R18" s="2" t="s">
        <v>59</v>
      </c>
      <c r="S18" s="14" t="s">
        <v>60</v>
      </c>
      <c r="T18" s="15" t="s">
        <v>61</v>
      </c>
      <c r="U18" s="2" t="s">
        <v>62</v>
      </c>
      <c r="V18" s="2" t="s">
        <v>91</v>
      </c>
      <c r="W18" s="21" t="s">
        <v>80</v>
      </c>
      <c r="X18" s="35" t="s">
        <v>148</v>
      </c>
      <c r="Y18" s="2" t="s">
        <v>93</v>
      </c>
      <c r="Z18" s="2" t="s">
        <v>48</v>
      </c>
      <c r="AA18" s="21" t="s">
        <v>80</v>
      </c>
      <c r="AB18" s="2" t="s">
        <v>187</v>
      </c>
      <c r="AC18" s="29" t="s">
        <v>46</v>
      </c>
    </row>
    <row r="19" customFormat="false" ht="27.75" hidden="false" customHeight="true" outlineLevel="0" collapsed="false">
      <c r="A19" s="2" t="s">
        <v>179</v>
      </c>
      <c r="B19" s="2" t="n">
        <v>3</v>
      </c>
      <c r="C19" s="2" t="s">
        <v>188</v>
      </c>
      <c r="D19" s="2" t="s">
        <v>189</v>
      </c>
      <c r="E19" s="2" t="s">
        <v>190</v>
      </c>
      <c r="F19" s="2" t="s">
        <v>97</v>
      </c>
      <c r="G19" s="3" t="s">
        <v>98</v>
      </c>
      <c r="H19" s="2" t="s">
        <v>154</v>
      </c>
      <c r="I19" s="4" t="n">
        <v>0.693</v>
      </c>
      <c r="J19" s="2" t="n">
        <f aca="false">MAX(1,MIN(10,ROUND(I19*8+IF(A19="Amateur",0.5,1),0)))</f>
        <v>7</v>
      </c>
      <c r="K19" s="5" t="n">
        <v>1.216</v>
      </c>
      <c r="L19" s="5" t="n">
        <v>1.069</v>
      </c>
      <c r="M19" s="6" t="n">
        <f aca="false">1/K19</f>
        <v>0.822368421052632</v>
      </c>
      <c r="N19" s="2" t="s">
        <v>191</v>
      </c>
      <c r="O19" s="44" t="s">
        <v>50</v>
      </c>
      <c r="P19" s="2" t="s">
        <v>38</v>
      </c>
      <c r="Q19" s="2" t="s">
        <v>39</v>
      </c>
      <c r="R19" s="2" t="s">
        <v>59</v>
      </c>
      <c r="S19" s="8" t="s">
        <v>41</v>
      </c>
      <c r="T19" s="19" t="s">
        <v>77</v>
      </c>
      <c r="U19" s="2" t="s">
        <v>192</v>
      </c>
      <c r="V19" s="2" t="s">
        <v>44</v>
      </c>
      <c r="W19" s="26" t="s">
        <v>102</v>
      </c>
      <c r="X19" s="43" t="s">
        <v>184</v>
      </c>
      <c r="Y19" s="2" t="s">
        <v>93</v>
      </c>
      <c r="Z19" s="2" t="s">
        <v>48</v>
      </c>
      <c r="AA19" s="11" t="s">
        <v>46</v>
      </c>
      <c r="AB19" s="2" t="s">
        <v>193</v>
      </c>
      <c r="AC19" s="29" t="s">
        <v>46</v>
      </c>
    </row>
    <row r="20" customFormat="false" ht="27.75" hidden="false" customHeight="true" outlineLevel="0" collapsed="false">
      <c r="A20" s="2" t="s">
        <v>179</v>
      </c>
      <c r="B20" s="2" t="n">
        <v>4</v>
      </c>
      <c r="C20" s="2" t="s">
        <v>194</v>
      </c>
      <c r="D20" s="2" t="s">
        <v>195</v>
      </c>
      <c r="E20" s="2" t="s">
        <v>196</v>
      </c>
      <c r="F20" s="2" t="s">
        <v>33</v>
      </c>
      <c r="G20" s="3" t="s">
        <v>34</v>
      </c>
      <c r="H20" s="2" t="s">
        <v>119</v>
      </c>
      <c r="I20" s="4" t="n">
        <v>0.664</v>
      </c>
      <c r="J20" s="2" t="n">
        <f aca="false">MAX(1,MIN(10,ROUND(I20*8+IF(A20="Amateur",0.5,1),0)))</f>
        <v>6</v>
      </c>
      <c r="K20" s="5" t="n">
        <v>1.119</v>
      </c>
      <c r="L20" s="5" t="n">
        <v>1.063</v>
      </c>
      <c r="M20" s="6" t="n">
        <f aca="false">1/K20</f>
        <v>0.893655049151028</v>
      </c>
      <c r="N20" s="2" t="s">
        <v>110</v>
      </c>
      <c r="O20" s="40" t="s">
        <v>41</v>
      </c>
      <c r="P20" s="2" t="s">
        <v>38</v>
      </c>
      <c r="Q20" s="2" t="s">
        <v>131</v>
      </c>
      <c r="R20" s="2" t="s">
        <v>59</v>
      </c>
      <c r="S20" s="37" t="s">
        <v>130</v>
      </c>
      <c r="T20" s="9" t="s">
        <v>42</v>
      </c>
      <c r="U20" s="2" t="s">
        <v>43</v>
      </c>
      <c r="V20" s="2" t="s">
        <v>44</v>
      </c>
      <c r="W20" s="17" t="s">
        <v>64</v>
      </c>
      <c r="X20" s="25" t="s">
        <v>92</v>
      </c>
      <c r="Y20" s="2" t="s">
        <v>93</v>
      </c>
      <c r="Z20" s="2" t="s">
        <v>48</v>
      </c>
      <c r="AA20" s="25" t="s">
        <v>92</v>
      </c>
      <c r="AB20" s="2" t="s">
        <v>187</v>
      </c>
      <c r="AC20" s="18" t="s">
        <v>68</v>
      </c>
    </row>
    <row r="21" customFormat="false" ht="27.75" hidden="false" customHeight="true" outlineLevel="0" collapsed="false">
      <c r="A21" s="2" t="s">
        <v>179</v>
      </c>
      <c r="B21" s="2" t="n">
        <v>5</v>
      </c>
      <c r="C21" s="2" t="s">
        <v>197</v>
      </c>
      <c r="D21" s="2" t="s">
        <v>198</v>
      </c>
      <c r="E21" s="2" t="s">
        <v>199</v>
      </c>
      <c r="F21" s="2" t="s">
        <v>166</v>
      </c>
      <c r="G21" s="3" t="s">
        <v>167</v>
      </c>
      <c r="H21" s="2" t="s">
        <v>137</v>
      </c>
      <c r="I21" s="4" t="n">
        <v>0.636</v>
      </c>
      <c r="J21" s="2" t="n">
        <f aca="false">MAX(1,MIN(10,ROUND(I21*8+IF(A21="Amateur",0.5,1),0)))</f>
        <v>6</v>
      </c>
      <c r="K21" s="5" t="n">
        <v>1.111</v>
      </c>
      <c r="L21" s="5" t="n">
        <v>1.057</v>
      </c>
      <c r="M21" s="6" t="n">
        <f aca="false">1/K21</f>
        <v>0.9000900090009</v>
      </c>
      <c r="N21" s="2" t="s">
        <v>57</v>
      </c>
      <c r="O21" s="38" t="s">
        <v>161</v>
      </c>
      <c r="P21" s="2" t="s">
        <v>38</v>
      </c>
      <c r="Q21" s="2" t="s">
        <v>58</v>
      </c>
      <c r="R21" s="2" t="s">
        <v>59</v>
      </c>
      <c r="S21" s="8" t="s">
        <v>41</v>
      </c>
      <c r="T21" s="41" t="s">
        <v>130</v>
      </c>
      <c r="U21" s="2" t="s">
        <v>113</v>
      </c>
      <c r="V21" s="2" t="s">
        <v>91</v>
      </c>
      <c r="W21" s="24" t="s">
        <v>50</v>
      </c>
      <c r="X21" s="11" t="s">
        <v>46</v>
      </c>
      <c r="Y21" s="2" t="s">
        <v>93</v>
      </c>
      <c r="Z21" s="2" t="s">
        <v>48</v>
      </c>
      <c r="AA21" s="24" t="s">
        <v>50</v>
      </c>
      <c r="AB21" s="2" t="s">
        <v>156</v>
      </c>
      <c r="AC21" s="18" t="s">
        <v>68</v>
      </c>
    </row>
    <row r="22" customFormat="false" ht="27.75" hidden="false" customHeight="true" outlineLevel="0" collapsed="false">
      <c r="A22" s="2" t="s">
        <v>179</v>
      </c>
      <c r="B22" s="2" t="n">
        <v>6</v>
      </c>
      <c r="C22" s="2" t="s">
        <v>200</v>
      </c>
      <c r="D22" s="2" t="s">
        <v>201</v>
      </c>
      <c r="E22" s="2" t="s">
        <v>202</v>
      </c>
      <c r="F22" s="2" t="s">
        <v>117</v>
      </c>
      <c r="G22" s="3" t="s">
        <v>118</v>
      </c>
      <c r="H22" s="2" t="s">
        <v>86</v>
      </c>
      <c r="I22" s="4" t="n">
        <v>0.607</v>
      </c>
      <c r="J22" s="2" t="n">
        <f aca="false">MAX(1,MIN(10,ROUND(I22*8+IF(A22="Amateur",0.5,1),0)))</f>
        <v>6</v>
      </c>
      <c r="K22" s="5" t="n">
        <v>1.104</v>
      </c>
      <c r="L22" s="5" t="n">
        <v>0.946</v>
      </c>
      <c r="M22" s="6" t="n">
        <f aca="false">1/K22</f>
        <v>0.905797101449275</v>
      </c>
      <c r="N22" s="2" t="s">
        <v>203</v>
      </c>
      <c r="O22" s="31" t="s">
        <v>130</v>
      </c>
      <c r="P22" s="2" t="s">
        <v>147</v>
      </c>
      <c r="Q22" s="2" t="s">
        <v>58</v>
      </c>
      <c r="R22" s="2" t="s">
        <v>40</v>
      </c>
      <c r="S22" s="28" t="s">
        <v>112</v>
      </c>
      <c r="T22" s="9" t="s">
        <v>42</v>
      </c>
      <c r="U22" s="2" t="s">
        <v>90</v>
      </c>
      <c r="V22" s="2" t="s">
        <v>91</v>
      </c>
      <c r="W22" s="26" t="s">
        <v>102</v>
      </c>
      <c r="X22" s="25" t="s">
        <v>92</v>
      </c>
      <c r="Y22" s="2" t="s">
        <v>93</v>
      </c>
      <c r="Z22" s="2" t="s">
        <v>48</v>
      </c>
      <c r="AA22" s="24" t="s">
        <v>50</v>
      </c>
      <c r="AB22" s="2" t="s">
        <v>204</v>
      </c>
      <c r="AC22" s="29" t="s">
        <v>46</v>
      </c>
    </row>
    <row r="23" customFormat="false" ht="27.75" hidden="false" customHeight="true" outlineLevel="0" collapsed="false">
      <c r="A23" s="2" t="s">
        <v>179</v>
      </c>
      <c r="B23" s="2" t="n">
        <v>7</v>
      </c>
      <c r="C23" s="2" t="s">
        <v>205</v>
      </c>
      <c r="D23" s="2" t="s">
        <v>206</v>
      </c>
      <c r="E23" s="2" t="s">
        <v>53</v>
      </c>
      <c r="F23" s="2" t="s">
        <v>166</v>
      </c>
      <c r="G23" s="3" t="s">
        <v>167</v>
      </c>
      <c r="H23" s="2" t="s">
        <v>74</v>
      </c>
      <c r="I23" s="4" t="n">
        <v>0.579</v>
      </c>
      <c r="J23" s="2" t="n">
        <f aca="false">MAX(1,MIN(10,ROUND(I23*8+IF(A23="Amateur",0.5,1),0)))</f>
        <v>6</v>
      </c>
      <c r="K23" s="5" t="n">
        <v>1.097</v>
      </c>
      <c r="L23" s="5" t="n">
        <v>1.046</v>
      </c>
      <c r="M23" s="6" t="n">
        <f aca="false">1/K23</f>
        <v>0.911577028258888</v>
      </c>
      <c r="N23" s="2" t="s">
        <v>207</v>
      </c>
      <c r="O23" s="44" t="s">
        <v>50</v>
      </c>
      <c r="P23" s="2" t="s">
        <v>38</v>
      </c>
      <c r="Q23" s="2" t="s">
        <v>58</v>
      </c>
      <c r="R23" s="2" t="s">
        <v>59</v>
      </c>
      <c r="S23" s="14" t="s">
        <v>60</v>
      </c>
      <c r="T23" s="23" t="s">
        <v>45</v>
      </c>
      <c r="U23" s="2" t="s">
        <v>113</v>
      </c>
      <c r="V23" s="2" t="s">
        <v>44</v>
      </c>
      <c r="W23" s="32" t="s">
        <v>133</v>
      </c>
      <c r="X23" s="25" t="s">
        <v>92</v>
      </c>
      <c r="Y23" s="2" t="s">
        <v>93</v>
      </c>
      <c r="Z23" s="2" t="s">
        <v>48</v>
      </c>
      <c r="AA23" s="11" t="s">
        <v>46</v>
      </c>
      <c r="AB23" s="2" t="s">
        <v>204</v>
      </c>
      <c r="AC23" s="29" t="s">
        <v>46</v>
      </c>
    </row>
    <row r="24" customFormat="false" ht="27.75" hidden="false" customHeight="true" outlineLevel="0" collapsed="false">
      <c r="A24" s="2" t="s">
        <v>179</v>
      </c>
      <c r="B24" s="2" t="n">
        <v>8</v>
      </c>
      <c r="C24" s="2" t="s">
        <v>208</v>
      </c>
      <c r="D24" s="2" t="s">
        <v>209</v>
      </c>
      <c r="E24" s="2" t="s">
        <v>53</v>
      </c>
      <c r="F24" s="2" t="s">
        <v>72</v>
      </c>
      <c r="G24" s="3" t="s">
        <v>73</v>
      </c>
      <c r="H24" s="2" t="s">
        <v>109</v>
      </c>
      <c r="I24" s="4" t="n">
        <v>0.55</v>
      </c>
      <c r="J24" s="2" t="n">
        <f aca="false">MAX(1,MIN(10,ROUND(I24*8+IF(A24="Amateur",0.5,1),0)))</f>
        <v>5</v>
      </c>
      <c r="K24" s="5" t="n">
        <v>1.09</v>
      </c>
      <c r="L24" s="5" t="n">
        <v>1.165</v>
      </c>
      <c r="M24" s="6" t="n">
        <f aca="false">1/K24</f>
        <v>0.91743119266055</v>
      </c>
      <c r="N24" s="2" t="s">
        <v>172</v>
      </c>
      <c r="O24" s="31" t="s">
        <v>130</v>
      </c>
      <c r="P24" s="2" t="s">
        <v>38</v>
      </c>
      <c r="Q24" s="2" t="s">
        <v>58</v>
      </c>
      <c r="R24" s="2" t="s">
        <v>59</v>
      </c>
      <c r="S24" s="28" t="s">
        <v>112</v>
      </c>
      <c r="T24" s="34" t="s">
        <v>41</v>
      </c>
      <c r="U24" s="2" t="s">
        <v>155</v>
      </c>
      <c r="V24" s="2" t="s">
        <v>91</v>
      </c>
      <c r="W24" s="11" t="s">
        <v>46</v>
      </c>
      <c r="X24" s="35" t="s">
        <v>148</v>
      </c>
      <c r="Y24" s="2" t="s">
        <v>93</v>
      </c>
      <c r="Z24" s="2" t="s">
        <v>48</v>
      </c>
      <c r="AA24" s="11" t="s">
        <v>46</v>
      </c>
      <c r="AB24" s="2" t="s">
        <v>187</v>
      </c>
      <c r="AC24" s="18" t="s">
        <v>68</v>
      </c>
    </row>
    <row r="25" customFormat="false" ht="27.75" hidden="false" customHeight="true" outlineLevel="0" collapsed="false">
      <c r="A25" s="2" t="s">
        <v>179</v>
      </c>
      <c r="B25" s="2" t="n">
        <v>9</v>
      </c>
      <c r="C25" s="2" t="s">
        <v>210</v>
      </c>
      <c r="D25" s="2" t="s">
        <v>211</v>
      </c>
      <c r="E25" s="2" t="s">
        <v>96</v>
      </c>
      <c r="F25" s="2" t="s">
        <v>127</v>
      </c>
      <c r="G25" s="3" t="s">
        <v>128</v>
      </c>
      <c r="H25" s="2" t="s">
        <v>212</v>
      </c>
      <c r="I25" s="4" t="n">
        <v>0.521</v>
      </c>
      <c r="J25" s="2" t="n">
        <f aca="false">MAX(1,MIN(10,ROUND(I25*8+IF(A25="Amateur",0.5,1),0)))</f>
        <v>5</v>
      </c>
      <c r="K25" s="5" t="n">
        <v>1.083</v>
      </c>
      <c r="L25" s="5" t="n">
        <v>1.034</v>
      </c>
      <c r="M25" s="6" t="n">
        <f aca="false">1/K25</f>
        <v>0.923361034164358</v>
      </c>
      <c r="N25" s="2" t="s">
        <v>129</v>
      </c>
      <c r="O25" s="7" t="s">
        <v>37</v>
      </c>
      <c r="P25" s="2" t="s">
        <v>147</v>
      </c>
      <c r="Q25" s="2" t="s">
        <v>131</v>
      </c>
      <c r="R25" s="2" t="s">
        <v>59</v>
      </c>
      <c r="S25" s="28" t="s">
        <v>112</v>
      </c>
      <c r="T25" s="34" t="s">
        <v>41</v>
      </c>
      <c r="U25" s="2" t="s">
        <v>213</v>
      </c>
      <c r="V25" s="2" t="s">
        <v>44</v>
      </c>
      <c r="W25" s="17" t="s">
        <v>64</v>
      </c>
      <c r="X25" s="32" t="s">
        <v>133</v>
      </c>
      <c r="Y25" s="2" t="s">
        <v>93</v>
      </c>
      <c r="Z25" s="2" t="s">
        <v>48</v>
      </c>
      <c r="AA25" s="24" t="s">
        <v>50</v>
      </c>
      <c r="AB25" s="2" t="s">
        <v>67</v>
      </c>
      <c r="AC25" s="12" t="s">
        <v>50</v>
      </c>
    </row>
    <row r="26" customFormat="false" ht="27.75" hidden="false" customHeight="true" outlineLevel="0" collapsed="false">
      <c r="A26" s="2" t="s">
        <v>179</v>
      </c>
      <c r="B26" s="2" t="n">
        <v>10</v>
      </c>
      <c r="C26" s="2" t="s">
        <v>214</v>
      </c>
      <c r="D26" s="2" t="s">
        <v>215</v>
      </c>
      <c r="E26" s="2" t="s">
        <v>216</v>
      </c>
      <c r="F26" s="2" t="s">
        <v>107</v>
      </c>
      <c r="G26" s="3" t="s">
        <v>108</v>
      </c>
      <c r="H26" s="2" t="s">
        <v>86</v>
      </c>
      <c r="I26" s="4" t="n">
        <v>0.493</v>
      </c>
      <c r="J26" s="2" t="n">
        <f aca="false">MAX(1,MIN(10,ROUND(I26*8+IF(A26="Amateur",0.5,1),0)))</f>
        <v>5</v>
      </c>
      <c r="K26" s="5" t="n">
        <v>1.076</v>
      </c>
      <c r="L26" s="5" t="n">
        <v>1.029</v>
      </c>
      <c r="M26" s="6" t="n">
        <f aca="false">1/K26</f>
        <v>0.929368029739777</v>
      </c>
      <c r="N26" s="2" t="s">
        <v>203</v>
      </c>
      <c r="O26" s="26" t="s">
        <v>100</v>
      </c>
      <c r="P26" s="2" t="s">
        <v>38</v>
      </c>
      <c r="Q26" s="2" t="s">
        <v>76</v>
      </c>
      <c r="R26" s="2" t="s">
        <v>40</v>
      </c>
      <c r="S26" s="8" t="s">
        <v>41</v>
      </c>
      <c r="T26" s="9" t="s">
        <v>42</v>
      </c>
      <c r="U26" s="2" t="s">
        <v>192</v>
      </c>
      <c r="V26" s="2" t="s">
        <v>44</v>
      </c>
      <c r="W26" s="32" t="s">
        <v>133</v>
      </c>
      <c r="X26" s="10" t="s">
        <v>45</v>
      </c>
      <c r="Y26" s="2" t="s">
        <v>93</v>
      </c>
      <c r="Z26" s="2" t="s">
        <v>48</v>
      </c>
      <c r="AA26" s="10" t="s">
        <v>45</v>
      </c>
      <c r="AB26" s="2" t="s">
        <v>67</v>
      </c>
      <c r="AC26" s="18" t="s">
        <v>68</v>
      </c>
    </row>
    <row r="27" customFormat="false" ht="27.75" hidden="false" customHeight="true" outlineLevel="0" collapsed="false">
      <c r="A27" s="2" t="s">
        <v>179</v>
      </c>
      <c r="B27" s="2" t="n">
        <v>11</v>
      </c>
      <c r="C27" s="2" t="s">
        <v>217</v>
      </c>
      <c r="D27" s="2" t="s">
        <v>218</v>
      </c>
      <c r="E27" s="2" t="s">
        <v>136</v>
      </c>
      <c r="F27" s="2" t="s">
        <v>127</v>
      </c>
      <c r="G27" s="3" t="s">
        <v>128</v>
      </c>
      <c r="H27" s="2" t="s">
        <v>86</v>
      </c>
      <c r="I27" s="4" t="n">
        <v>0.464</v>
      </c>
      <c r="J27" s="2" t="n">
        <f aca="false">MAX(1,MIN(10,ROUND(I27*8+IF(A27="Amateur",0.5,1),0)))</f>
        <v>5</v>
      </c>
      <c r="K27" s="5" t="n">
        <v>1.069</v>
      </c>
      <c r="L27" s="5" t="n">
        <v>1.023</v>
      </c>
      <c r="M27" s="6" t="n">
        <f aca="false">1/K27</f>
        <v>0.935453695042095</v>
      </c>
      <c r="N27" s="2" t="s">
        <v>75</v>
      </c>
      <c r="O27" s="44" t="s">
        <v>50</v>
      </c>
      <c r="P27" s="2" t="s">
        <v>38</v>
      </c>
      <c r="Q27" s="2" t="s">
        <v>219</v>
      </c>
      <c r="R27" s="2" t="s">
        <v>59</v>
      </c>
      <c r="S27" s="8" t="s">
        <v>41</v>
      </c>
      <c r="T27" s="34" t="s">
        <v>41</v>
      </c>
      <c r="U27" s="2" t="s">
        <v>43</v>
      </c>
      <c r="V27" s="2" t="s">
        <v>44</v>
      </c>
      <c r="W27" s="33" t="s">
        <v>139</v>
      </c>
      <c r="X27" s="11" t="s">
        <v>46</v>
      </c>
      <c r="Y27" s="2" t="s">
        <v>93</v>
      </c>
      <c r="Z27" s="2" t="s">
        <v>48</v>
      </c>
      <c r="AA27" s="24" t="s">
        <v>50</v>
      </c>
      <c r="AB27" s="2" t="s">
        <v>187</v>
      </c>
      <c r="AC27" s="18" t="s">
        <v>68</v>
      </c>
    </row>
    <row r="28" customFormat="false" ht="27.75" hidden="false" customHeight="true" outlineLevel="0" collapsed="false">
      <c r="A28" s="2" t="s">
        <v>179</v>
      </c>
      <c r="B28" s="2" t="n">
        <v>12</v>
      </c>
      <c r="C28" s="2" t="s">
        <v>220</v>
      </c>
      <c r="D28" s="2" t="s">
        <v>221</v>
      </c>
      <c r="E28" s="2" t="s">
        <v>199</v>
      </c>
      <c r="F28" s="2" t="s">
        <v>54</v>
      </c>
      <c r="G28" s="3" t="s">
        <v>55</v>
      </c>
      <c r="H28" s="2" t="s">
        <v>86</v>
      </c>
      <c r="I28" s="4" t="n">
        <v>0.436</v>
      </c>
      <c r="J28" s="2" t="n">
        <f aca="false">MAX(1,MIN(10,ROUND(I28*8+IF(A28="Amateur",0.5,1),0)))</f>
        <v>4</v>
      </c>
      <c r="K28" s="5" t="n">
        <v>1.061</v>
      </c>
      <c r="L28" s="5" t="n">
        <v>1.017</v>
      </c>
      <c r="M28" s="6" t="n">
        <f aca="false">1/K28</f>
        <v>0.942507068803016</v>
      </c>
      <c r="N28" s="2" t="s">
        <v>87</v>
      </c>
      <c r="O28" s="2"/>
      <c r="P28" s="2" t="s">
        <v>38</v>
      </c>
      <c r="Q28" s="2" t="s">
        <v>58</v>
      </c>
      <c r="R28" s="2" t="s">
        <v>59</v>
      </c>
      <c r="S28" s="8" t="s">
        <v>41</v>
      </c>
      <c r="T28" s="41" t="s">
        <v>130</v>
      </c>
      <c r="U28" s="2" t="s">
        <v>155</v>
      </c>
      <c r="V28" s="2" t="s">
        <v>44</v>
      </c>
      <c r="W28" s="35" t="s">
        <v>148</v>
      </c>
      <c r="X28" s="20" t="s">
        <v>79</v>
      </c>
      <c r="Y28" s="2" t="s">
        <v>93</v>
      </c>
      <c r="Z28" s="2" t="s">
        <v>48</v>
      </c>
      <c r="AA28" s="20" t="s">
        <v>79</v>
      </c>
      <c r="AB28" s="2" t="s">
        <v>49</v>
      </c>
      <c r="AC28" s="18" t="s">
        <v>68</v>
      </c>
    </row>
    <row r="29" customFormat="false" ht="27.75" hidden="false" customHeight="true" outlineLevel="0" collapsed="false">
      <c r="A29" s="2" t="s">
        <v>179</v>
      </c>
      <c r="B29" s="2" t="n">
        <v>13</v>
      </c>
      <c r="C29" s="2" t="s">
        <v>222</v>
      </c>
      <c r="D29" s="2" t="s">
        <v>223</v>
      </c>
      <c r="E29" s="2" t="s">
        <v>126</v>
      </c>
      <c r="F29" s="2" t="s">
        <v>33</v>
      </c>
      <c r="G29" s="3" t="s">
        <v>34</v>
      </c>
      <c r="H29" s="2" t="s">
        <v>137</v>
      </c>
      <c r="I29" s="4" t="n">
        <v>0.407</v>
      </c>
      <c r="J29" s="2" t="n">
        <f aca="false">MAX(1,MIN(10,ROUND(I29*8+IF(A29="Amateur",0.5,1),0)))</f>
        <v>4</v>
      </c>
      <c r="K29" s="5" t="n">
        <v>1.054</v>
      </c>
      <c r="L29" s="5" t="n">
        <v>1.011</v>
      </c>
      <c r="M29" s="6" t="n">
        <f aca="false">1/K29</f>
        <v>0.94876660341556</v>
      </c>
      <c r="N29" s="2" t="s">
        <v>172</v>
      </c>
      <c r="O29" s="45" t="s">
        <v>224</v>
      </c>
      <c r="P29" s="2" t="s">
        <v>38</v>
      </c>
      <c r="Q29" s="2" t="s">
        <v>131</v>
      </c>
      <c r="R29" s="2" t="s">
        <v>59</v>
      </c>
      <c r="S29" s="46" t="s">
        <v>225</v>
      </c>
      <c r="T29" s="9" t="s">
        <v>42</v>
      </c>
      <c r="U29" s="2" t="s">
        <v>113</v>
      </c>
      <c r="V29" s="2" t="s">
        <v>91</v>
      </c>
      <c r="W29" s="25" t="s">
        <v>92</v>
      </c>
      <c r="X29" s="10" t="s">
        <v>45</v>
      </c>
      <c r="Y29" s="2" t="s">
        <v>93</v>
      </c>
      <c r="Z29" s="2" t="s">
        <v>48</v>
      </c>
      <c r="AA29" s="11" t="s">
        <v>46</v>
      </c>
      <c r="AB29" s="2" t="s">
        <v>204</v>
      </c>
      <c r="AC29" s="29" t="s">
        <v>46</v>
      </c>
    </row>
    <row r="30" customFormat="false" ht="27.75" hidden="false" customHeight="true" outlineLevel="0" collapsed="false">
      <c r="A30" s="2" t="s">
        <v>179</v>
      </c>
      <c r="B30" s="2" t="n">
        <v>14</v>
      </c>
      <c r="C30" s="2" t="s">
        <v>226</v>
      </c>
      <c r="D30" s="2" t="s">
        <v>227</v>
      </c>
      <c r="E30" s="2" t="s">
        <v>32</v>
      </c>
      <c r="F30" s="2" t="s">
        <v>54</v>
      </c>
      <c r="G30" s="3" t="s">
        <v>55</v>
      </c>
      <c r="H30" s="2" t="s">
        <v>212</v>
      </c>
      <c r="I30" s="4" t="n">
        <v>0.379</v>
      </c>
      <c r="J30" s="2" t="n">
        <f aca="false">MAX(1,MIN(10,ROUND(I30*8+IF(A30="Amateur",0.5,1),0)))</f>
        <v>4</v>
      </c>
      <c r="K30" s="5" t="n">
        <v>1.047</v>
      </c>
      <c r="L30" s="5" t="n">
        <v>1.006</v>
      </c>
      <c r="M30" s="6" t="n">
        <f aca="false">1/K30</f>
        <v>0.955109837631328</v>
      </c>
      <c r="N30" s="2" t="s">
        <v>110</v>
      </c>
      <c r="O30" s="45" t="s">
        <v>224</v>
      </c>
      <c r="P30" s="2" t="s">
        <v>38</v>
      </c>
      <c r="Q30" s="2" t="s">
        <v>58</v>
      </c>
      <c r="R30" s="2" t="s">
        <v>59</v>
      </c>
      <c r="S30" s="37" t="s">
        <v>130</v>
      </c>
      <c r="T30" s="34" t="s">
        <v>41</v>
      </c>
      <c r="U30" s="2" t="s">
        <v>101</v>
      </c>
      <c r="V30" s="2" t="s">
        <v>91</v>
      </c>
      <c r="W30" s="24" t="s">
        <v>50</v>
      </c>
      <c r="X30" s="10" t="s">
        <v>45</v>
      </c>
      <c r="Y30" s="2" t="s">
        <v>93</v>
      </c>
      <c r="Z30" s="2" t="s">
        <v>48</v>
      </c>
      <c r="AA30" s="10" t="s">
        <v>45</v>
      </c>
      <c r="AB30" s="2" t="s">
        <v>163</v>
      </c>
      <c r="AC30" s="29" t="s">
        <v>46</v>
      </c>
    </row>
    <row r="31" customFormat="false" ht="27.75" hidden="false" customHeight="true" outlineLevel="0" collapsed="false">
      <c r="A31" s="2" t="s">
        <v>179</v>
      </c>
      <c r="B31" s="2" t="n">
        <v>15</v>
      </c>
      <c r="C31" s="2" t="s">
        <v>228</v>
      </c>
      <c r="D31" s="2" t="s">
        <v>229</v>
      </c>
      <c r="E31" s="2" t="s">
        <v>230</v>
      </c>
      <c r="F31" s="2" t="s">
        <v>144</v>
      </c>
      <c r="G31" s="3" t="s">
        <v>145</v>
      </c>
      <c r="H31" s="2" t="s">
        <v>35</v>
      </c>
      <c r="I31" s="4" t="n">
        <v>0.35</v>
      </c>
      <c r="J31" s="2" t="n">
        <f aca="false">MAX(1,MIN(10,ROUND(I31*8+IF(A31="Amateur",0.5,1),0)))</f>
        <v>4</v>
      </c>
      <c r="K31" s="5" t="n">
        <v>1.04</v>
      </c>
      <c r="L31" s="5" t="n">
        <v>1</v>
      </c>
      <c r="M31" s="6" t="n">
        <f aca="false">1/K31</f>
        <v>0.961538461538462</v>
      </c>
      <c r="N31" s="2" t="s">
        <v>183</v>
      </c>
      <c r="O31" s="40" t="s">
        <v>41</v>
      </c>
      <c r="P31" s="2" t="s">
        <v>38</v>
      </c>
      <c r="Q31" s="2" t="s">
        <v>177</v>
      </c>
      <c r="R31" s="2" t="s">
        <v>59</v>
      </c>
      <c r="S31" s="37" t="s">
        <v>130</v>
      </c>
      <c r="T31" s="15" t="s">
        <v>61</v>
      </c>
      <c r="U31" s="2" t="s">
        <v>62</v>
      </c>
      <c r="V31" s="2" t="s">
        <v>91</v>
      </c>
      <c r="W31" s="33" t="s">
        <v>139</v>
      </c>
      <c r="X31" s="35" t="s">
        <v>148</v>
      </c>
      <c r="Y31" s="2" t="s">
        <v>93</v>
      </c>
      <c r="Z31" s="2" t="s">
        <v>48</v>
      </c>
      <c r="AA31" s="35" t="s">
        <v>148</v>
      </c>
      <c r="AB31" s="2" t="s">
        <v>82</v>
      </c>
      <c r="AC31" s="12" t="s">
        <v>50</v>
      </c>
    </row>
    <row r="32" customFormat="false" ht="27.75" hidden="false" customHeight="true" outlineLevel="0" collapsed="false">
      <c r="A32" s="2" t="s">
        <v>231</v>
      </c>
      <c r="B32" s="2" t="n">
        <v>1</v>
      </c>
      <c r="C32" s="2" t="s">
        <v>232</v>
      </c>
      <c r="D32" s="2" t="s">
        <v>233</v>
      </c>
      <c r="E32" s="2" t="s">
        <v>234</v>
      </c>
      <c r="F32" s="2" t="s">
        <v>117</v>
      </c>
      <c r="G32" s="3" t="s">
        <v>118</v>
      </c>
      <c r="H32" s="2" t="s">
        <v>86</v>
      </c>
      <c r="I32" s="4" t="n">
        <v>1</v>
      </c>
      <c r="J32" s="2" t="n">
        <f aca="false">MAX(1,MIN(10,ROUND(I32*8+IF(A32="Amateur",0.5,1),0)))</f>
        <v>9</v>
      </c>
      <c r="K32" s="5" t="n">
        <v>1.34</v>
      </c>
      <c r="L32" s="5" t="n">
        <v>1.062</v>
      </c>
      <c r="M32" s="6" t="n">
        <f aca="false">1/K32</f>
        <v>0.746268656716418</v>
      </c>
      <c r="N32" s="2" t="s">
        <v>110</v>
      </c>
      <c r="O32" s="45" t="s">
        <v>224</v>
      </c>
      <c r="P32" s="2" t="s">
        <v>147</v>
      </c>
      <c r="Q32" s="2" t="s">
        <v>58</v>
      </c>
      <c r="R32" s="2" t="s">
        <v>59</v>
      </c>
      <c r="S32" s="14" t="s">
        <v>60</v>
      </c>
      <c r="T32" s="9" t="s">
        <v>42</v>
      </c>
      <c r="U32" s="2" t="s">
        <v>113</v>
      </c>
      <c r="V32" s="2" t="s">
        <v>44</v>
      </c>
      <c r="W32" s="25" t="s">
        <v>92</v>
      </c>
      <c r="X32" s="42" t="s">
        <v>173</v>
      </c>
      <c r="Y32" s="2" t="s">
        <v>93</v>
      </c>
      <c r="Z32" s="2" t="s">
        <v>48</v>
      </c>
      <c r="AA32" s="25" t="s">
        <v>92</v>
      </c>
      <c r="AB32" s="2" t="s">
        <v>235</v>
      </c>
      <c r="AC32" s="29" t="s">
        <v>46</v>
      </c>
    </row>
    <row r="33" customFormat="false" ht="27.75" hidden="false" customHeight="true" outlineLevel="0" collapsed="false">
      <c r="A33" s="2" t="s">
        <v>231</v>
      </c>
      <c r="B33" s="2" t="n">
        <v>2</v>
      </c>
      <c r="C33" s="2" t="s">
        <v>236</v>
      </c>
      <c r="D33" s="2" t="s">
        <v>237</v>
      </c>
      <c r="E33" s="2" t="s">
        <v>234</v>
      </c>
      <c r="F33" s="2" t="s">
        <v>117</v>
      </c>
      <c r="G33" s="3" t="s">
        <v>118</v>
      </c>
      <c r="H33" s="2" t="s">
        <v>35</v>
      </c>
      <c r="I33" s="4" t="n">
        <v>0.987</v>
      </c>
      <c r="J33" s="2" t="n">
        <f aca="false">MAX(1,MIN(10,ROUND(I33*8+IF(A33="Amateur",0.5,1),0)))</f>
        <v>9</v>
      </c>
      <c r="K33" s="5" t="n">
        <v>1.333</v>
      </c>
      <c r="L33" s="5" t="n">
        <v>1.058</v>
      </c>
      <c r="M33" s="6" t="n">
        <f aca="false">1/K33</f>
        <v>0.750187546886722</v>
      </c>
      <c r="N33" s="2" t="s">
        <v>172</v>
      </c>
      <c r="O33" s="47" t="s">
        <v>238</v>
      </c>
      <c r="P33" s="2" t="s">
        <v>147</v>
      </c>
      <c r="Q33" s="2" t="s">
        <v>58</v>
      </c>
      <c r="R33" s="2" t="s">
        <v>59</v>
      </c>
      <c r="S33" s="28" t="s">
        <v>112</v>
      </c>
      <c r="T33" s="19" t="s">
        <v>77</v>
      </c>
      <c r="U33" s="2" t="s">
        <v>62</v>
      </c>
      <c r="V33" s="2" t="s">
        <v>44</v>
      </c>
      <c r="W33" s="42" t="s">
        <v>173</v>
      </c>
      <c r="X33" s="20" t="s">
        <v>79</v>
      </c>
      <c r="Y33" s="2" t="s">
        <v>93</v>
      </c>
      <c r="Z33" s="2" t="s">
        <v>48</v>
      </c>
      <c r="AA33" s="24" t="s">
        <v>50</v>
      </c>
      <c r="AB33" s="2" t="s">
        <v>103</v>
      </c>
      <c r="AC33" s="18" t="s">
        <v>68</v>
      </c>
    </row>
    <row r="34" customFormat="false" ht="27.75" hidden="false" customHeight="true" outlineLevel="0" collapsed="false">
      <c r="A34" s="2" t="s">
        <v>231</v>
      </c>
      <c r="B34" s="2" t="n">
        <v>3</v>
      </c>
      <c r="C34" s="2" t="s">
        <v>239</v>
      </c>
      <c r="D34" s="2" t="s">
        <v>240</v>
      </c>
      <c r="E34" s="2" t="s">
        <v>241</v>
      </c>
      <c r="F34" s="2" t="s">
        <v>72</v>
      </c>
      <c r="G34" s="3" t="s">
        <v>73</v>
      </c>
      <c r="H34" s="2" t="s">
        <v>109</v>
      </c>
      <c r="I34" s="4" t="n">
        <v>0.975</v>
      </c>
      <c r="J34" s="2" t="n">
        <f aca="false">MAX(1,MIN(10,ROUND(I34*8+IF(A34="Amateur",0.5,1),0)))</f>
        <v>9</v>
      </c>
      <c r="K34" s="5" t="n">
        <v>1.327</v>
      </c>
      <c r="L34" s="5" t="n">
        <v>1.313</v>
      </c>
      <c r="M34" s="6" t="n">
        <f aca="false">1/K34</f>
        <v>0.753579502637528</v>
      </c>
      <c r="N34" s="2" t="s">
        <v>203</v>
      </c>
      <c r="O34" s="31" t="s">
        <v>130</v>
      </c>
      <c r="P34" s="2" t="s">
        <v>38</v>
      </c>
      <c r="Q34" s="2" t="s">
        <v>58</v>
      </c>
      <c r="R34" s="2" t="s">
        <v>59</v>
      </c>
      <c r="S34" s="22" t="s">
        <v>89</v>
      </c>
      <c r="T34" s="9" t="s">
        <v>42</v>
      </c>
      <c r="U34" s="2" t="s">
        <v>242</v>
      </c>
      <c r="V34" s="2" t="s">
        <v>44</v>
      </c>
      <c r="W34" s="24" t="s">
        <v>50</v>
      </c>
      <c r="X34" s="36" t="s">
        <v>77</v>
      </c>
      <c r="Y34" s="2" t="s">
        <v>93</v>
      </c>
      <c r="Z34" s="2" t="s">
        <v>48</v>
      </c>
      <c r="AA34" s="24" t="s">
        <v>50</v>
      </c>
      <c r="AB34" s="2" t="s">
        <v>49</v>
      </c>
      <c r="AC34" s="29" t="s">
        <v>46</v>
      </c>
    </row>
    <row r="35" customFormat="false" ht="27.75" hidden="false" customHeight="true" outlineLevel="0" collapsed="false">
      <c r="A35" s="2" t="s">
        <v>231</v>
      </c>
      <c r="B35" s="2" t="n">
        <v>4</v>
      </c>
      <c r="C35" s="2" t="s">
        <v>243</v>
      </c>
      <c r="D35" s="2" t="s">
        <v>244</v>
      </c>
      <c r="E35" s="2" t="s">
        <v>245</v>
      </c>
      <c r="F35" s="2" t="s">
        <v>107</v>
      </c>
      <c r="G35" s="3" t="s">
        <v>108</v>
      </c>
      <c r="H35" s="2" t="s">
        <v>86</v>
      </c>
      <c r="I35" s="4" t="n">
        <v>0.962</v>
      </c>
      <c r="J35" s="2" t="n">
        <f aca="false">MAX(1,MIN(10,ROUND(I35*8+IF(A35="Amateur",0.5,1),0)))</f>
        <v>9</v>
      </c>
      <c r="K35" s="5" t="n">
        <v>1.32</v>
      </c>
      <c r="L35" s="5" t="n">
        <v>1.168</v>
      </c>
      <c r="M35" s="6" t="n">
        <f aca="false">1/K35</f>
        <v>0.757575757575758</v>
      </c>
      <c r="N35" s="2" t="s">
        <v>75</v>
      </c>
      <c r="O35" s="47" t="s">
        <v>238</v>
      </c>
      <c r="P35" s="2" t="s">
        <v>38</v>
      </c>
      <c r="Q35" s="2" t="s">
        <v>58</v>
      </c>
      <c r="R35" s="2" t="s">
        <v>59</v>
      </c>
      <c r="S35" s="37" t="s">
        <v>130</v>
      </c>
      <c r="T35" s="23" t="s">
        <v>45</v>
      </c>
      <c r="U35" s="2" t="s">
        <v>192</v>
      </c>
      <c r="V35" s="2" t="s">
        <v>91</v>
      </c>
      <c r="W35" s="30" t="s">
        <v>121</v>
      </c>
      <c r="X35" s="21" t="s">
        <v>80</v>
      </c>
      <c r="Y35" s="2" t="s">
        <v>93</v>
      </c>
      <c r="Z35" s="2" t="s">
        <v>48</v>
      </c>
      <c r="AA35" s="30" t="s">
        <v>121</v>
      </c>
      <c r="AB35" s="2" t="s">
        <v>82</v>
      </c>
      <c r="AC35" s="12" t="s">
        <v>50</v>
      </c>
    </row>
    <row r="36" customFormat="false" ht="27.75" hidden="false" customHeight="true" outlineLevel="0" collapsed="false">
      <c r="A36" s="2" t="s">
        <v>231</v>
      </c>
      <c r="B36" s="2" t="n">
        <v>5</v>
      </c>
      <c r="C36" s="2" t="s">
        <v>246</v>
      </c>
      <c r="D36" s="2" t="s">
        <v>247</v>
      </c>
      <c r="E36" s="2" t="s">
        <v>245</v>
      </c>
      <c r="F36" s="2" t="s">
        <v>97</v>
      </c>
      <c r="G36" s="3" t="s">
        <v>98</v>
      </c>
      <c r="H36" s="2" t="s">
        <v>212</v>
      </c>
      <c r="I36" s="4" t="n">
        <v>0.949</v>
      </c>
      <c r="J36" s="2" t="n">
        <f aca="false">MAX(1,MIN(10,ROUND(I36*8+IF(A36="Amateur",0.5,1),0)))</f>
        <v>9</v>
      </c>
      <c r="K36" s="5" t="n">
        <v>1.418</v>
      </c>
      <c r="L36" s="5" t="n">
        <v>1.164</v>
      </c>
      <c r="M36" s="6" t="n">
        <f aca="false">1/K36</f>
        <v>0.705218617771509</v>
      </c>
      <c r="N36" s="2" t="s">
        <v>110</v>
      </c>
      <c r="O36" s="38" t="s">
        <v>161</v>
      </c>
      <c r="P36" s="2" t="s">
        <v>38</v>
      </c>
      <c r="Q36" s="2" t="s">
        <v>58</v>
      </c>
      <c r="R36" s="2" t="s">
        <v>59</v>
      </c>
      <c r="S36" s="37" t="s">
        <v>130</v>
      </c>
      <c r="T36" s="41" t="s">
        <v>130</v>
      </c>
      <c r="U36" s="2" t="s">
        <v>192</v>
      </c>
      <c r="V36" s="2" t="s">
        <v>44</v>
      </c>
      <c r="W36" s="11" t="s">
        <v>46</v>
      </c>
      <c r="X36" s="32" t="s">
        <v>133</v>
      </c>
      <c r="Y36" s="2" t="s">
        <v>93</v>
      </c>
      <c r="Z36" s="2" t="s">
        <v>48</v>
      </c>
      <c r="AA36" s="24" t="s">
        <v>50</v>
      </c>
      <c r="AB36" s="2" t="s">
        <v>248</v>
      </c>
      <c r="AC36" s="18" t="s">
        <v>68</v>
      </c>
    </row>
    <row r="37" customFormat="false" ht="27.75" hidden="false" customHeight="true" outlineLevel="0" collapsed="false">
      <c r="A37" s="2" t="s">
        <v>231</v>
      </c>
      <c r="B37" s="2" t="n">
        <v>6</v>
      </c>
      <c r="C37" s="2" t="s">
        <v>249</v>
      </c>
      <c r="D37" s="2" t="s">
        <v>250</v>
      </c>
      <c r="E37" s="2" t="s">
        <v>171</v>
      </c>
      <c r="F37" s="2" t="s">
        <v>97</v>
      </c>
      <c r="G37" s="3" t="s">
        <v>98</v>
      </c>
      <c r="H37" s="2" t="s">
        <v>212</v>
      </c>
      <c r="I37" s="4" t="n">
        <v>0.937</v>
      </c>
      <c r="J37" s="2" t="n">
        <f aca="false">MAX(1,MIN(10,ROUND(I37*8+IF(A37="Amateur",0.5,1),0)))</f>
        <v>8</v>
      </c>
      <c r="K37" s="5" t="n">
        <v>1.411</v>
      </c>
      <c r="L37" s="5" t="n">
        <v>1.16</v>
      </c>
      <c r="M37" s="6" t="n">
        <f aca="false">1/K37</f>
        <v>0.70871722182849</v>
      </c>
      <c r="N37" s="2" t="s">
        <v>129</v>
      </c>
      <c r="O37" s="7" t="s">
        <v>37</v>
      </c>
      <c r="P37" s="2" t="s">
        <v>147</v>
      </c>
      <c r="Q37" s="2" t="s">
        <v>58</v>
      </c>
      <c r="R37" s="2" t="s">
        <v>40</v>
      </c>
      <c r="S37" s="28" t="s">
        <v>112</v>
      </c>
      <c r="T37" s="9" t="s">
        <v>42</v>
      </c>
      <c r="U37" s="2" t="s">
        <v>101</v>
      </c>
      <c r="V37" s="2" t="s">
        <v>91</v>
      </c>
      <c r="W37" s="30" t="s">
        <v>121</v>
      </c>
      <c r="X37" s="20" t="s">
        <v>79</v>
      </c>
      <c r="Y37" s="2" t="s">
        <v>93</v>
      </c>
      <c r="Z37" s="2" t="s">
        <v>48</v>
      </c>
      <c r="AA37" s="30" t="s">
        <v>121</v>
      </c>
      <c r="AB37" s="2" t="s">
        <v>178</v>
      </c>
      <c r="AC37" s="18" t="s">
        <v>68</v>
      </c>
    </row>
    <row r="38" customFormat="false" ht="27.75" hidden="false" customHeight="true" outlineLevel="0" collapsed="false">
      <c r="A38" s="2" t="s">
        <v>231</v>
      </c>
      <c r="B38" s="2" t="n">
        <v>7</v>
      </c>
      <c r="C38" s="2" t="s">
        <v>251</v>
      </c>
      <c r="D38" s="2" t="s">
        <v>252</v>
      </c>
      <c r="E38" s="2" t="s">
        <v>253</v>
      </c>
      <c r="F38" s="2" t="s">
        <v>127</v>
      </c>
      <c r="G38" s="3" t="s">
        <v>128</v>
      </c>
      <c r="H38" s="2" t="s">
        <v>119</v>
      </c>
      <c r="I38" s="4" t="n">
        <v>0.924</v>
      </c>
      <c r="J38" s="2" t="n">
        <f aca="false">MAX(1,MIN(10,ROUND(I38*8+IF(A38="Amateur",0.5,1),0)))</f>
        <v>8</v>
      </c>
      <c r="K38" s="5" t="n">
        <v>1.3</v>
      </c>
      <c r="L38" s="5" t="n">
        <v>1.156</v>
      </c>
      <c r="M38" s="6" t="n">
        <f aca="false">1/K38</f>
        <v>0.769230769230769</v>
      </c>
      <c r="N38" s="2" t="s">
        <v>57</v>
      </c>
      <c r="O38" s="13" t="s">
        <v>42</v>
      </c>
      <c r="P38" s="2" t="s">
        <v>38</v>
      </c>
      <c r="Q38" s="2" t="s">
        <v>58</v>
      </c>
      <c r="R38" s="2" t="s">
        <v>59</v>
      </c>
      <c r="S38" s="8" t="s">
        <v>41</v>
      </c>
      <c r="T38" s="9" t="s">
        <v>42</v>
      </c>
      <c r="U38" s="2" t="s">
        <v>132</v>
      </c>
      <c r="V38" s="2" t="s">
        <v>91</v>
      </c>
      <c r="W38" s="25" t="s">
        <v>92</v>
      </c>
      <c r="X38" s="24" t="s">
        <v>50</v>
      </c>
      <c r="Y38" s="2" t="s">
        <v>93</v>
      </c>
      <c r="Z38" s="2" t="s">
        <v>48</v>
      </c>
      <c r="AA38" s="24" t="s">
        <v>50</v>
      </c>
      <c r="AB38" s="2" t="s">
        <v>254</v>
      </c>
      <c r="AC38" s="29" t="s">
        <v>46</v>
      </c>
    </row>
    <row r="39" customFormat="false" ht="27.75" hidden="false" customHeight="true" outlineLevel="0" collapsed="false">
      <c r="A39" s="2" t="s">
        <v>231</v>
      </c>
      <c r="B39" s="2" t="n">
        <v>8</v>
      </c>
      <c r="C39" s="2" t="s">
        <v>255</v>
      </c>
      <c r="D39" s="2" t="s">
        <v>256</v>
      </c>
      <c r="E39" s="2" t="s">
        <v>241</v>
      </c>
      <c r="F39" s="2" t="s">
        <v>33</v>
      </c>
      <c r="G39" s="3" t="s">
        <v>34</v>
      </c>
      <c r="H39" s="2" t="s">
        <v>119</v>
      </c>
      <c r="I39" s="4" t="n">
        <v>0.911</v>
      </c>
      <c r="J39" s="2" t="n">
        <f aca="false">MAX(1,MIN(10,ROUND(I39*8+IF(A39="Amateur",0.5,1),0)))</f>
        <v>8</v>
      </c>
      <c r="K39" s="5" t="n">
        <v>1.293</v>
      </c>
      <c r="L39" s="5" t="n">
        <v>1.152</v>
      </c>
      <c r="M39" s="6" t="n">
        <f aca="false">1/K39</f>
        <v>0.773395204949729</v>
      </c>
      <c r="N39" s="2" t="s">
        <v>87</v>
      </c>
      <c r="O39" s="2"/>
      <c r="P39" s="2" t="s">
        <v>38</v>
      </c>
      <c r="Q39" s="2" t="s">
        <v>58</v>
      </c>
      <c r="R39" s="2" t="s">
        <v>40</v>
      </c>
      <c r="S39" s="8" t="s">
        <v>41</v>
      </c>
      <c r="T39" s="9" t="s">
        <v>42</v>
      </c>
      <c r="U39" s="2" t="s">
        <v>132</v>
      </c>
      <c r="V39" s="2" t="s">
        <v>91</v>
      </c>
      <c r="W39" s="26" t="s">
        <v>102</v>
      </c>
      <c r="X39" s="17" t="s">
        <v>64</v>
      </c>
      <c r="Y39" s="2" t="s">
        <v>93</v>
      </c>
      <c r="Z39" s="2" t="s">
        <v>48</v>
      </c>
      <c r="AA39" s="26" t="s">
        <v>102</v>
      </c>
      <c r="AB39" s="2" t="s">
        <v>67</v>
      </c>
      <c r="AC39" s="18" t="s">
        <v>68</v>
      </c>
    </row>
    <row r="40" customFormat="false" ht="27.75" hidden="false" customHeight="true" outlineLevel="0" collapsed="false">
      <c r="A40" s="2" t="s">
        <v>231</v>
      </c>
      <c r="B40" s="2" t="n">
        <v>9</v>
      </c>
      <c r="C40" s="2" t="s">
        <v>257</v>
      </c>
      <c r="D40" s="2" t="s">
        <v>258</v>
      </c>
      <c r="E40" s="2" t="s">
        <v>159</v>
      </c>
      <c r="F40" s="2" t="s">
        <v>33</v>
      </c>
      <c r="G40" s="3" t="s">
        <v>34</v>
      </c>
      <c r="H40" s="2" t="s">
        <v>35</v>
      </c>
      <c r="I40" s="4" t="n">
        <v>0.899</v>
      </c>
      <c r="J40" s="2" t="n">
        <f aca="false">MAX(1,MIN(10,ROUND(I40*8+IF(A40="Amateur",0.5,1),0)))</f>
        <v>8</v>
      </c>
      <c r="K40" s="5" t="n">
        <v>1.287</v>
      </c>
      <c r="L40" s="5" t="n">
        <v>1.148</v>
      </c>
      <c r="M40" s="6" t="n">
        <f aca="false">1/K40</f>
        <v>0.777000777000777</v>
      </c>
      <c r="N40" s="2" t="s">
        <v>99</v>
      </c>
      <c r="O40" s="38" t="s">
        <v>161</v>
      </c>
      <c r="P40" s="2" t="s">
        <v>38</v>
      </c>
      <c r="Q40" s="2" t="s">
        <v>219</v>
      </c>
      <c r="R40" s="2" t="s">
        <v>59</v>
      </c>
      <c r="S40" s="46" t="s">
        <v>225</v>
      </c>
      <c r="T40" s="23" t="s">
        <v>45</v>
      </c>
      <c r="U40" s="2" t="s">
        <v>132</v>
      </c>
      <c r="V40" s="2" t="s">
        <v>44</v>
      </c>
      <c r="W40" s="16" t="s">
        <v>63</v>
      </c>
      <c r="X40" s="42" t="s">
        <v>173</v>
      </c>
      <c r="Y40" s="2" t="s">
        <v>93</v>
      </c>
      <c r="Z40" s="2" t="s">
        <v>48</v>
      </c>
      <c r="AA40" s="42" t="s">
        <v>173</v>
      </c>
      <c r="AB40" s="2" t="s">
        <v>168</v>
      </c>
      <c r="AC40" s="18" t="s">
        <v>68</v>
      </c>
    </row>
    <row r="41" customFormat="false" ht="27.75" hidden="false" customHeight="true" outlineLevel="0" collapsed="false">
      <c r="A41" s="2" t="s">
        <v>231</v>
      </c>
      <c r="B41" s="2" t="n">
        <v>10</v>
      </c>
      <c r="C41" s="2" t="s">
        <v>259</v>
      </c>
      <c r="D41" s="2" t="s">
        <v>260</v>
      </c>
      <c r="E41" s="2" t="s">
        <v>261</v>
      </c>
      <c r="F41" s="2" t="s">
        <v>54</v>
      </c>
      <c r="G41" s="3" t="s">
        <v>55</v>
      </c>
      <c r="H41" s="2" t="s">
        <v>56</v>
      </c>
      <c r="I41" s="4" t="n">
        <v>0.886</v>
      </c>
      <c r="J41" s="2" t="n">
        <f aca="false">MAX(1,MIN(10,ROUND(I41*8+IF(A41="Amateur",0.5,1),0)))</f>
        <v>8</v>
      </c>
      <c r="K41" s="5" t="n">
        <v>1.28</v>
      </c>
      <c r="L41" s="5" t="n">
        <v>1.144</v>
      </c>
      <c r="M41" s="6" t="n">
        <f aca="false">1/K41</f>
        <v>0.78125</v>
      </c>
      <c r="N41" s="2" t="s">
        <v>87</v>
      </c>
      <c r="O41" s="2"/>
      <c r="P41" s="2" t="s">
        <v>38</v>
      </c>
      <c r="Q41" s="2" t="s">
        <v>76</v>
      </c>
      <c r="R41" s="2" t="s">
        <v>59</v>
      </c>
      <c r="S41" s="46" t="s">
        <v>225</v>
      </c>
      <c r="T41" s="34" t="s">
        <v>41</v>
      </c>
      <c r="U41" s="2" t="s">
        <v>62</v>
      </c>
      <c r="V41" s="2" t="s">
        <v>44</v>
      </c>
      <c r="W41" s="32" t="s">
        <v>133</v>
      </c>
      <c r="X41" s="10" t="s">
        <v>45</v>
      </c>
      <c r="Y41" s="2" t="s">
        <v>93</v>
      </c>
      <c r="Z41" s="2" t="s">
        <v>48</v>
      </c>
      <c r="AA41" s="11" t="s">
        <v>46</v>
      </c>
      <c r="AB41" s="2" t="s">
        <v>187</v>
      </c>
      <c r="AC41" s="18" t="s">
        <v>68</v>
      </c>
    </row>
    <row r="42" customFormat="false" ht="27.75" hidden="false" customHeight="true" outlineLevel="0" collapsed="false">
      <c r="A42" s="2" t="s">
        <v>231</v>
      </c>
      <c r="B42" s="2" t="n">
        <v>11</v>
      </c>
      <c r="C42" s="2" t="s">
        <v>262</v>
      </c>
      <c r="D42" s="2" t="s">
        <v>263</v>
      </c>
      <c r="E42" s="2" t="s">
        <v>71</v>
      </c>
      <c r="F42" s="2" t="s">
        <v>166</v>
      </c>
      <c r="G42" s="3" t="s">
        <v>167</v>
      </c>
      <c r="H42" s="2" t="s">
        <v>137</v>
      </c>
      <c r="I42" s="4" t="n">
        <v>0.873</v>
      </c>
      <c r="J42" s="2" t="n">
        <f aca="false">MAX(1,MIN(10,ROUND(I42*8+IF(A42="Amateur",0.5,1),0)))</f>
        <v>8</v>
      </c>
      <c r="K42" s="5" t="n">
        <v>1.273</v>
      </c>
      <c r="L42" s="5" t="n">
        <v>1.14</v>
      </c>
      <c r="M42" s="6" t="n">
        <f aca="false">1/K42</f>
        <v>0.785545954438335</v>
      </c>
      <c r="N42" s="2" t="s">
        <v>36</v>
      </c>
      <c r="O42" s="13" t="s">
        <v>42</v>
      </c>
      <c r="P42" s="2" t="s">
        <v>38</v>
      </c>
      <c r="Q42" s="2" t="s">
        <v>131</v>
      </c>
      <c r="R42" s="2" t="s">
        <v>40</v>
      </c>
      <c r="S42" s="37" t="s">
        <v>130</v>
      </c>
      <c r="T42" s="41" t="s">
        <v>130</v>
      </c>
      <c r="U42" s="2" t="s">
        <v>62</v>
      </c>
      <c r="V42" s="2" t="s">
        <v>91</v>
      </c>
      <c r="W42" s="33" t="s">
        <v>139</v>
      </c>
      <c r="X42" s="42" t="s">
        <v>173</v>
      </c>
      <c r="Y42" s="2" t="s">
        <v>93</v>
      </c>
      <c r="Z42" s="2" t="s">
        <v>48</v>
      </c>
      <c r="AA42" s="24" t="s">
        <v>50</v>
      </c>
      <c r="AB42" s="2" t="s">
        <v>103</v>
      </c>
      <c r="AC42" s="12" t="s">
        <v>50</v>
      </c>
    </row>
    <row r="43" customFormat="false" ht="27.75" hidden="false" customHeight="true" outlineLevel="0" collapsed="false">
      <c r="A43" s="2" t="s">
        <v>231</v>
      </c>
      <c r="B43" s="2" t="n">
        <v>12</v>
      </c>
      <c r="C43" s="2" t="s">
        <v>264</v>
      </c>
      <c r="D43" s="2" t="s">
        <v>265</v>
      </c>
      <c r="E43" s="2" t="s">
        <v>266</v>
      </c>
      <c r="F43" s="2" t="s">
        <v>144</v>
      </c>
      <c r="G43" s="3" t="s">
        <v>145</v>
      </c>
      <c r="H43" s="2" t="s">
        <v>146</v>
      </c>
      <c r="I43" s="4" t="n">
        <v>0.861</v>
      </c>
      <c r="J43" s="2" t="n">
        <f aca="false">MAX(1,MIN(10,ROUND(I43*8+IF(A43="Amateur",0.5,1),0)))</f>
        <v>8</v>
      </c>
      <c r="K43" s="5" t="n">
        <v>1.267</v>
      </c>
      <c r="L43" s="5" t="n">
        <v>1.136</v>
      </c>
      <c r="M43" s="6" t="n">
        <f aca="false">1/K43</f>
        <v>0.789265982636148</v>
      </c>
      <c r="N43" s="2" t="s">
        <v>99</v>
      </c>
      <c r="O43" s="40" t="s">
        <v>41</v>
      </c>
      <c r="P43" s="2" t="s">
        <v>38</v>
      </c>
      <c r="Q43" s="2" t="s">
        <v>58</v>
      </c>
      <c r="R43" s="2" t="s">
        <v>59</v>
      </c>
      <c r="S43" s="22" t="s">
        <v>89</v>
      </c>
      <c r="T43" s="15" t="s">
        <v>61</v>
      </c>
      <c r="U43" s="2" t="s">
        <v>62</v>
      </c>
      <c r="V43" s="2" t="s">
        <v>91</v>
      </c>
      <c r="W43" s="33" t="s">
        <v>139</v>
      </c>
      <c r="X43" s="32" t="s">
        <v>133</v>
      </c>
      <c r="Y43" s="2" t="s">
        <v>93</v>
      </c>
      <c r="Z43" s="2" t="s">
        <v>48</v>
      </c>
      <c r="AA43" s="33" t="s">
        <v>139</v>
      </c>
      <c r="AB43" s="2" t="s">
        <v>187</v>
      </c>
      <c r="AC43" s="12" t="s">
        <v>50</v>
      </c>
    </row>
    <row r="44" customFormat="false" ht="27.75" hidden="false" customHeight="true" outlineLevel="0" collapsed="false">
      <c r="A44" s="2" t="s">
        <v>231</v>
      </c>
      <c r="B44" s="2" t="n">
        <v>13</v>
      </c>
      <c r="C44" s="2" t="s">
        <v>267</v>
      </c>
      <c r="D44" s="2" t="s">
        <v>268</v>
      </c>
      <c r="E44" s="2" t="s">
        <v>159</v>
      </c>
      <c r="F44" s="2" t="s">
        <v>107</v>
      </c>
      <c r="G44" s="3" t="s">
        <v>108</v>
      </c>
      <c r="H44" s="2" t="s">
        <v>86</v>
      </c>
      <c r="I44" s="4" t="n">
        <v>0.848</v>
      </c>
      <c r="J44" s="2" t="n">
        <f aca="false">MAX(1,MIN(10,ROUND(I44*8+IF(A44="Amateur",0.5,1),0)))</f>
        <v>8</v>
      </c>
      <c r="K44" s="5" t="n">
        <v>1.26</v>
      </c>
      <c r="L44" s="5" t="n">
        <v>1.132</v>
      </c>
      <c r="M44" s="6" t="n">
        <f aca="false">1/K44</f>
        <v>0.793650793650794</v>
      </c>
      <c r="N44" s="2" t="s">
        <v>172</v>
      </c>
      <c r="O44" s="45" t="s">
        <v>224</v>
      </c>
      <c r="P44" s="2" t="s">
        <v>147</v>
      </c>
      <c r="Q44" s="2" t="s">
        <v>58</v>
      </c>
      <c r="R44" s="2" t="s">
        <v>59</v>
      </c>
      <c r="S44" s="14" t="s">
        <v>60</v>
      </c>
      <c r="T44" s="41" t="s">
        <v>130</v>
      </c>
      <c r="U44" s="2" t="s">
        <v>192</v>
      </c>
      <c r="V44" s="2" t="s">
        <v>44</v>
      </c>
      <c r="W44" s="26" t="s">
        <v>102</v>
      </c>
      <c r="X44" s="33" t="s">
        <v>139</v>
      </c>
      <c r="Y44" s="2" t="s">
        <v>93</v>
      </c>
      <c r="Z44" s="2" t="s">
        <v>48</v>
      </c>
      <c r="AA44" s="33" t="s">
        <v>139</v>
      </c>
      <c r="AB44" s="2" t="s">
        <v>235</v>
      </c>
      <c r="AC44" s="29" t="s">
        <v>46</v>
      </c>
    </row>
    <row r="45" customFormat="false" ht="27.75" hidden="false" customHeight="true" outlineLevel="0" collapsed="false">
      <c r="A45" s="2" t="s">
        <v>231</v>
      </c>
      <c r="B45" s="2" t="n">
        <v>14</v>
      </c>
      <c r="C45" s="2" t="s">
        <v>269</v>
      </c>
      <c r="D45" s="2" t="s">
        <v>270</v>
      </c>
      <c r="E45" s="2" t="s">
        <v>241</v>
      </c>
      <c r="F45" s="2" t="s">
        <v>144</v>
      </c>
      <c r="G45" s="3" t="s">
        <v>145</v>
      </c>
      <c r="H45" s="2" t="s">
        <v>146</v>
      </c>
      <c r="I45" s="4" t="n">
        <v>0.835</v>
      </c>
      <c r="J45" s="2" t="n">
        <f aca="false">MAX(1,MIN(10,ROUND(I45*8+IF(A45="Amateur",0.5,1),0)))</f>
        <v>8</v>
      </c>
      <c r="K45" s="5" t="n">
        <v>1.253</v>
      </c>
      <c r="L45" s="5" t="n">
        <v>1.128</v>
      </c>
      <c r="M45" s="6" t="n">
        <f aca="false">1/K45</f>
        <v>0.798084596967279</v>
      </c>
      <c r="N45" s="2" t="s">
        <v>36</v>
      </c>
      <c r="O45" s="40" t="s">
        <v>41</v>
      </c>
      <c r="P45" s="2" t="s">
        <v>38</v>
      </c>
      <c r="Q45" s="2" t="s">
        <v>58</v>
      </c>
      <c r="R45" s="2" t="s">
        <v>59</v>
      </c>
      <c r="S45" s="14" t="s">
        <v>60</v>
      </c>
      <c r="T45" s="23" t="s">
        <v>45</v>
      </c>
      <c r="U45" s="2" t="s">
        <v>62</v>
      </c>
      <c r="V45" s="2" t="s">
        <v>44</v>
      </c>
      <c r="W45" s="42" t="s">
        <v>173</v>
      </c>
      <c r="X45" s="30" t="s">
        <v>121</v>
      </c>
      <c r="Y45" s="2" t="s">
        <v>93</v>
      </c>
      <c r="Z45" s="2" t="s">
        <v>48</v>
      </c>
      <c r="AA45" s="11" t="s">
        <v>46</v>
      </c>
      <c r="AB45" s="2" t="s">
        <v>150</v>
      </c>
      <c r="AC45" s="12" t="s">
        <v>50</v>
      </c>
    </row>
    <row r="46" customFormat="false" ht="27.75" hidden="false" customHeight="true" outlineLevel="0" collapsed="false">
      <c r="A46" s="2" t="s">
        <v>231</v>
      </c>
      <c r="B46" s="2" t="n">
        <v>15</v>
      </c>
      <c r="C46" s="2" t="s">
        <v>271</v>
      </c>
      <c r="D46" s="2" t="s">
        <v>272</v>
      </c>
      <c r="E46" s="2" t="s">
        <v>216</v>
      </c>
      <c r="F46" s="2" t="s">
        <v>54</v>
      </c>
      <c r="G46" s="3" t="s">
        <v>55</v>
      </c>
      <c r="H46" s="2" t="s">
        <v>56</v>
      </c>
      <c r="I46" s="4" t="n">
        <v>0.823</v>
      </c>
      <c r="J46" s="2" t="n">
        <f aca="false">MAX(1,MIN(10,ROUND(I46*8+IF(A46="Amateur",0.5,1),0)))</f>
        <v>8</v>
      </c>
      <c r="K46" s="5" t="n">
        <v>1.247</v>
      </c>
      <c r="L46" s="5" t="n">
        <v>1.124</v>
      </c>
      <c r="M46" s="6" t="n">
        <f aca="false">1/K46</f>
        <v>0.801924619085806</v>
      </c>
      <c r="N46" s="2" t="s">
        <v>75</v>
      </c>
      <c r="O46" s="31" t="s">
        <v>130</v>
      </c>
      <c r="P46" s="2" t="s">
        <v>38</v>
      </c>
      <c r="Q46" s="2" t="s">
        <v>58</v>
      </c>
      <c r="R46" s="2" t="s">
        <v>59</v>
      </c>
      <c r="S46" s="22" t="s">
        <v>89</v>
      </c>
      <c r="T46" s="19" t="s">
        <v>77</v>
      </c>
      <c r="U46" s="2" t="s">
        <v>192</v>
      </c>
      <c r="V46" s="2" t="s">
        <v>91</v>
      </c>
      <c r="W46" s="30" t="s">
        <v>121</v>
      </c>
      <c r="X46" s="35" t="s">
        <v>148</v>
      </c>
      <c r="Y46" s="2" t="s">
        <v>93</v>
      </c>
      <c r="Z46" s="2" t="s">
        <v>48</v>
      </c>
      <c r="AA46" s="35" t="s">
        <v>148</v>
      </c>
      <c r="AB46" s="2" t="s">
        <v>103</v>
      </c>
      <c r="AC46" s="18" t="s">
        <v>68</v>
      </c>
    </row>
    <row r="47" customFormat="false" ht="27.75" hidden="false" customHeight="true" outlineLevel="0" collapsed="false">
      <c r="A47" s="2" t="s">
        <v>231</v>
      </c>
      <c r="B47" s="2" t="n">
        <v>16</v>
      </c>
      <c r="C47" s="2" t="s">
        <v>273</v>
      </c>
      <c r="D47" s="2" t="s">
        <v>274</v>
      </c>
      <c r="E47" s="2" t="s">
        <v>53</v>
      </c>
      <c r="F47" s="2" t="s">
        <v>144</v>
      </c>
      <c r="G47" s="3" t="s">
        <v>145</v>
      </c>
      <c r="H47" s="2" t="s">
        <v>35</v>
      </c>
      <c r="I47" s="4" t="n">
        <v>0.81</v>
      </c>
      <c r="J47" s="2" t="n">
        <f aca="false">MAX(1,MIN(10,ROUND(I47*8+IF(A47="Amateur",0.5,1),0)))</f>
        <v>7</v>
      </c>
      <c r="K47" s="5" t="n">
        <v>1.24</v>
      </c>
      <c r="L47" s="5" t="n">
        <v>1.12</v>
      </c>
      <c r="M47" s="6" t="n">
        <f aca="false">1/K47</f>
        <v>0.806451612903226</v>
      </c>
      <c r="N47" s="2" t="s">
        <v>36</v>
      </c>
      <c r="O47" s="31" t="s">
        <v>130</v>
      </c>
      <c r="P47" s="2" t="s">
        <v>38</v>
      </c>
      <c r="Q47" s="2" t="s">
        <v>58</v>
      </c>
      <c r="R47" s="2" t="s">
        <v>59</v>
      </c>
      <c r="S47" s="22" t="s">
        <v>89</v>
      </c>
      <c r="T47" s="41" t="s">
        <v>130</v>
      </c>
      <c r="U47" s="2" t="s">
        <v>62</v>
      </c>
      <c r="V47" s="2" t="s">
        <v>44</v>
      </c>
      <c r="W47" s="16" t="s">
        <v>63</v>
      </c>
      <c r="X47" s="42" t="s">
        <v>173</v>
      </c>
      <c r="Y47" s="2" t="s">
        <v>93</v>
      </c>
      <c r="Z47" s="2" t="s">
        <v>48</v>
      </c>
      <c r="AA47" s="24" t="s">
        <v>50</v>
      </c>
      <c r="AB47" s="2" t="s">
        <v>254</v>
      </c>
      <c r="AC47" s="12" t="s">
        <v>50</v>
      </c>
    </row>
    <row r="48" customFormat="false" ht="27.75" hidden="false" customHeight="true" outlineLevel="0" collapsed="false">
      <c r="A48" s="2" t="s">
        <v>231</v>
      </c>
      <c r="B48" s="2" t="n">
        <v>17</v>
      </c>
      <c r="C48" s="2" t="s">
        <v>275</v>
      </c>
      <c r="D48" s="2" t="s">
        <v>276</v>
      </c>
      <c r="E48" s="2" t="s">
        <v>277</v>
      </c>
      <c r="F48" s="2" t="s">
        <v>166</v>
      </c>
      <c r="G48" s="3" t="s">
        <v>167</v>
      </c>
      <c r="H48" s="2" t="s">
        <v>137</v>
      </c>
      <c r="I48" s="4" t="n">
        <v>0.797</v>
      </c>
      <c r="J48" s="2" t="n">
        <f aca="false">MAX(1,MIN(10,ROUND(I48*8+IF(A48="Amateur",0.5,1),0)))</f>
        <v>7</v>
      </c>
      <c r="K48" s="5" t="n">
        <v>1.233</v>
      </c>
      <c r="L48" s="5" t="n">
        <v>1.116</v>
      </c>
      <c r="M48" s="6" t="n">
        <f aca="false">1/K48</f>
        <v>0.8110300081103</v>
      </c>
      <c r="N48" s="2" t="s">
        <v>172</v>
      </c>
      <c r="O48" s="48" t="s">
        <v>278</v>
      </c>
      <c r="P48" s="2" t="s">
        <v>147</v>
      </c>
      <c r="Q48" s="2" t="s">
        <v>120</v>
      </c>
      <c r="R48" s="2" t="s">
        <v>59</v>
      </c>
      <c r="S48" s="14" t="s">
        <v>60</v>
      </c>
      <c r="T48" s="34" t="s">
        <v>41</v>
      </c>
      <c r="U48" s="2" t="s">
        <v>62</v>
      </c>
      <c r="V48" s="2" t="s">
        <v>91</v>
      </c>
      <c r="W48" s="10" t="s">
        <v>45</v>
      </c>
      <c r="X48" s="36" t="s">
        <v>77</v>
      </c>
      <c r="Y48" s="2" t="s">
        <v>93</v>
      </c>
      <c r="Z48" s="2" t="s">
        <v>48</v>
      </c>
      <c r="AA48" s="36" t="s">
        <v>77</v>
      </c>
      <c r="AB48" s="2" t="s">
        <v>67</v>
      </c>
      <c r="AC48" s="12" t="s">
        <v>50</v>
      </c>
    </row>
    <row r="49" customFormat="false" ht="27.75" hidden="false" customHeight="true" outlineLevel="0" collapsed="false">
      <c r="A49" s="2" t="s">
        <v>231</v>
      </c>
      <c r="B49" s="2" t="n">
        <v>18</v>
      </c>
      <c r="C49" s="2" t="s">
        <v>279</v>
      </c>
      <c r="D49" s="2" t="s">
        <v>280</v>
      </c>
      <c r="E49" s="2" t="s">
        <v>230</v>
      </c>
      <c r="F49" s="2" t="s">
        <v>166</v>
      </c>
      <c r="G49" s="3" t="s">
        <v>167</v>
      </c>
      <c r="H49" s="2" t="s">
        <v>86</v>
      </c>
      <c r="I49" s="4" t="n">
        <v>0.785</v>
      </c>
      <c r="J49" s="2" t="n">
        <f aca="false">MAX(1,MIN(10,ROUND(I49*8+IF(A49="Amateur",0.5,1),0)))</f>
        <v>7</v>
      </c>
      <c r="K49" s="5" t="n">
        <v>1.227</v>
      </c>
      <c r="L49" s="5" t="n">
        <v>1.112</v>
      </c>
      <c r="M49" s="6" t="n">
        <f aca="false">1/K49</f>
        <v>0.814995925020375</v>
      </c>
      <c r="N49" s="2" t="s">
        <v>172</v>
      </c>
      <c r="O49" s="40" t="s">
        <v>41</v>
      </c>
      <c r="P49" s="2" t="s">
        <v>38</v>
      </c>
      <c r="Q49" s="2" t="s">
        <v>120</v>
      </c>
      <c r="R49" s="2" t="s">
        <v>59</v>
      </c>
      <c r="S49" s="37" t="s">
        <v>130</v>
      </c>
      <c r="T49" s="19" t="s">
        <v>77</v>
      </c>
      <c r="U49" s="2" t="s">
        <v>62</v>
      </c>
      <c r="V49" s="2" t="s">
        <v>91</v>
      </c>
      <c r="W49" s="36" t="s">
        <v>77</v>
      </c>
      <c r="X49" s="43" t="s">
        <v>184</v>
      </c>
      <c r="Y49" s="2" t="s">
        <v>93</v>
      </c>
      <c r="Z49" s="2" t="s">
        <v>48</v>
      </c>
      <c r="AA49" s="43" t="s">
        <v>184</v>
      </c>
      <c r="AB49" s="2" t="s">
        <v>187</v>
      </c>
      <c r="AC49" s="12" t="s">
        <v>50</v>
      </c>
    </row>
    <row r="50" customFormat="false" ht="27.75" hidden="false" customHeight="true" outlineLevel="0" collapsed="false">
      <c r="A50" s="2" t="s">
        <v>231</v>
      </c>
      <c r="B50" s="2" t="n">
        <v>19</v>
      </c>
      <c r="C50" s="2" t="s">
        <v>281</v>
      </c>
      <c r="D50" s="2" t="s">
        <v>282</v>
      </c>
      <c r="E50" s="2" t="s">
        <v>283</v>
      </c>
      <c r="F50" s="2" t="s">
        <v>166</v>
      </c>
      <c r="G50" s="3" t="s">
        <v>167</v>
      </c>
      <c r="H50" s="2" t="s">
        <v>86</v>
      </c>
      <c r="I50" s="4" t="n">
        <v>0.772</v>
      </c>
      <c r="J50" s="2" t="n">
        <f aca="false">MAX(1,MIN(10,ROUND(I50*8+IF(A50="Amateur",0.5,1),0)))</f>
        <v>7</v>
      </c>
      <c r="K50" s="5" t="n">
        <v>1.22</v>
      </c>
      <c r="L50" s="5" t="n">
        <v>1.108</v>
      </c>
      <c r="M50" s="6" t="n">
        <f aca="false">1/K50</f>
        <v>0.819672131147541</v>
      </c>
      <c r="N50" s="2" t="s">
        <v>99</v>
      </c>
      <c r="O50" s="44" t="s">
        <v>50</v>
      </c>
      <c r="P50" s="2" t="s">
        <v>38</v>
      </c>
      <c r="Q50" s="2" t="s">
        <v>39</v>
      </c>
      <c r="R50" s="2" t="s">
        <v>59</v>
      </c>
      <c r="S50" s="46" t="s">
        <v>225</v>
      </c>
      <c r="T50" s="34" t="s">
        <v>41</v>
      </c>
      <c r="U50" s="2" t="s">
        <v>90</v>
      </c>
      <c r="V50" s="2" t="s">
        <v>91</v>
      </c>
      <c r="W50" s="33" t="s">
        <v>139</v>
      </c>
      <c r="X50" s="35" t="s">
        <v>148</v>
      </c>
      <c r="Y50" s="2" t="s">
        <v>93</v>
      </c>
      <c r="Z50" s="2" t="s">
        <v>48</v>
      </c>
      <c r="AA50" s="24" t="s">
        <v>50</v>
      </c>
      <c r="AB50" s="2" t="s">
        <v>82</v>
      </c>
      <c r="AC50" s="29" t="s">
        <v>46</v>
      </c>
    </row>
    <row r="51" customFormat="false" ht="27.75" hidden="false" customHeight="true" outlineLevel="0" collapsed="false">
      <c r="A51" s="2" t="s">
        <v>231</v>
      </c>
      <c r="B51" s="2" t="n">
        <v>20</v>
      </c>
      <c r="C51" s="2" t="s">
        <v>284</v>
      </c>
      <c r="D51" s="2" t="s">
        <v>285</v>
      </c>
      <c r="E51" s="2" t="s">
        <v>286</v>
      </c>
      <c r="F51" s="2" t="s">
        <v>127</v>
      </c>
      <c r="G51" s="3" t="s">
        <v>128</v>
      </c>
      <c r="H51" s="2" t="s">
        <v>119</v>
      </c>
      <c r="I51" s="4" t="n">
        <v>0.759</v>
      </c>
      <c r="J51" s="2" t="n">
        <f aca="false">MAX(1,MIN(10,ROUND(I51*8+IF(A51="Amateur",0.5,1),0)))</f>
        <v>7</v>
      </c>
      <c r="K51" s="5" t="n">
        <v>1.213</v>
      </c>
      <c r="L51" s="5" t="n">
        <v>1.104</v>
      </c>
      <c r="M51" s="6" t="n">
        <f aca="false">1/K51</f>
        <v>0.824402308326463</v>
      </c>
      <c r="N51" s="2" t="s">
        <v>57</v>
      </c>
      <c r="O51" s="7" t="s">
        <v>37</v>
      </c>
      <c r="P51" s="2" t="s">
        <v>38</v>
      </c>
      <c r="Q51" s="2" t="s">
        <v>88</v>
      </c>
      <c r="R51" s="2" t="s">
        <v>59</v>
      </c>
      <c r="S51" s="8" t="s">
        <v>41</v>
      </c>
      <c r="T51" s="41" t="s">
        <v>130</v>
      </c>
      <c r="U51" s="2" t="s">
        <v>43</v>
      </c>
      <c r="V51" s="2" t="s">
        <v>44</v>
      </c>
      <c r="W51" s="20" t="s">
        <v>79</v>
      </c>
      <c r="X51" s="26" t="s">
        <v>102</v>
      </c>
      <c r="Y51" s="2" t="s">
        <v>93</v>
      </c>
      <c r="Z51" s="2" t="s">
        <v>48</v>
      </c>
      <c r="AA51" s="11" t="s">
        <v>46</v>
      </c>
      <c r="AB51" s="2" t="s">
        <v>123</v>
      </c>
      <c r="AC51" s="12" t="s">
        <v>50</v>
      </c>
    </row>
    <row r="52" customFormat="false" ht="27.75" hidden="false" customHeight="true" outlineLevel="0" collapsed="false">
      <c r="A52" s="2" t="s">
        <v>231</v>
      </c>
      <c r="B52" s="2" t="n">
        <v>21</v>
      </c>
      <c r="C52" s="2" t="s">
        <v>287</v>
      </c>
      <c r="D52" s="2" t="s">
        <v>288</v>
      </c>
      <c r="E52" s="2" t="s">
        <v>289</v>
      </c>
      <c r="F52" s="2" t="s">
        <v>72</v>
      </c>
      <c r="G52" s="3" t="s">
        <v>73</v>
      </c>
      <c r="H52" s="2" t="s">
        <v>74</v>
      </c>
      <c r="I52" s="4" t="n">
        <v>0.747</v>
      </c>
      <c r="J52" s="2" t="n">
        <f aca="false">MAX(1,MIN(10,ROUND(I52*8+IF(A52="Amateur",0.5,1),0)))</f>
        <v>7</v>
      </c>
      <c r="K52" s="5" t="n">
        <v>1.207</v>
      </c>
      <c r="L52" s="5" t="n">
        <v>1.232</v>
      </c>
      <c r="M52" s="6" t="n">
        <f aca="false">1/K52</f>
        <v>0.828500414250207</v>
      </c>
      <c r="N52" s="2" t="s">
        <v>172</v>
      </c>
      <c r="O52" s="47" t="s">
        <v>238</v>
      </c>
      <c r="P52" s="2" t="s">
        <v>147</v>
      </c>
      <c r="Q52" s="2" t="s">
        <v>58</v>
      </c>
      <c r="R52" s="2" t="s">
        <v>59</v>
      </c>
      <c r="S52" s="28" t="s">
        <v>112</v>
      </c>
      <c r="T52" s="9" t="s">
        <v>42</v>
      </c>
      <c r="U52" s="2" t="s">
        <v>78</v>
      </c>
      <c r="V52" s="2" t="s">
        <v>44</v>
      </c>
      <c r="W52" s="25" t="s">
        <v>92</v>
      </c>
      <c r="X52" s="26" t="s">
        <v>102</v>
      </c>
      <c r="Y52" s="2" t="s">
        <v>93</v>
      </c>
      <c r="Z52" s="2" t="s">
        <v>48</v>
      </c>
      <c r="AA52" s="24" t="s">
        <v>50</v>
      </c>
      <c r="AB52" s="2" t="s">
        <v>168</v>
      </c>
      <c r="AC52" s="18" t="s">
        <v>68</v>
      </c>
    </row>
    <row r="53" customFormat="false" ht="27.75" hidden="false" customHeight="true" outlineLevel="0" collapsed="false">
      <c r="A53" s="2" t="s">
        <v>231</v>
      </c>
      <c r="B53" s="2" t="n">
        <v>22</v>
      </c>
      <c r="C53" s="2" t="s">
        <v>290</v>
      </c>
      <c r="D53" s="2" t="s">
        <v>291</v>
      </c>
      <c r="E53" s="2" t="s">
        <v>182</v>
      </c>
      <c r="F53" s="2" t="s">
        <v>117</v>
      </c>
      <c r="G53" s="3" t="s">
        <v>118</v>
      </c>
      <c r="H53" s="2" t="s">
        <v>119</v>
      </c>
      <c r="I53" s="4" t="n">
        <v>0.734</v>
      </c>
      <c r="J53" s="2" t="n">
        <f aca="false">MAX(1,MIN(10,ROUND(I53*8+IF(A53="Amateur",0.5,1),0)))</f>
        <v>7</v>
      </c>
      <c r="K53" s="5" t="n">
        <v>1.2</v>
      </c>
      <c r="L53" s="5" t="n">
        <v>0.986</v>
      </c>
      <c r="M53" s="6" t="n">
        <f aca="false">1/K53</f>
        <v>0.833333333333333</v>
      </c>
      <c r="N53" s="2" t="s">
        <v>99</v>
      </c>
      <c r="O53" s="10" t="s">
        <v>292</v>
      </c>
      <c r="P53" s="2" t="s">
        <v>38</v>
      </c>
      <c r="Q53" s="2" t="s">
        <v>131</v>
      </c>
      <c r="R53" s="2" t="s">
        <v>59</v>
      </c>
      <c r="S53" s="22" t="s">
        <v>89</v>
      </c>
      <c r="T53" s="41" t="s">
        <v>130</v>
      </c>
      <c r="U53" s="2" t="s">
        <v>132</v>
      </c>
      <c r="V53" s="2" t="s">
        <v>44</v>
      </c>
      <c r="W53" s="43" t="s">
        <v>184</v>
      </c>
      <c r="X53" s="25" t="s">
        <v>92</v>
      </c>
      <c r="Y53" s="2" t="s">
        <v>93</v>
      </c>
      <c r="Z53" s="2" t="s">
        <v>48</v>
      </c>
      <c r="AA53" s="11" t="s">
        <v>46</v>
      </c>
      <c r="AB53" s="2" t="s">
        <v>163</v>
      </c>
      <c r="AC53" s="29" t="s">
        <v>46</v>
      </c>
    </row>
    <row r="54" customFormat="false" ht="27.75" hidden="false" customHeight="true" outlineLevel="0" collapsed="false">
      <c r="A54" s="2" t="s">
        <v>231</v>
      </c>
      <c r="B54" s="2" t="n">
        <v>23</v>
      </c>
      <c r="C54" s="2" t="s">
        <v>293</v>
      </c>
      <c r="D54" s="2" t="s">
        <v>294</v>
      </c>
      <c r="E54" s="2" t="s">
        <v>85</v>
      </c>
      <c r="F54" s="2" t="s">
        <v>33</v>
      </c>
      <c r="G54" s="3" t="s">
        <v>34</v>
      </c>
      <c r="H54" s="2" t="s">
        <v>35</v>
      </c>
      <c r="I54" s="4" t="n">
        <v>0.721</v>
      </c>
      <c r="J54" s="2" t="n">
        <f aca="false">MAX(1,MIN(10,ROUND(I54*8+IF(A54="Amateur",0.5,1),0)))</f>
        <v>7</v>
      </c>
      <c r="K54" s="5" t="n">
        <v>1.193</v>
      </c>
      <c r="L54" s="5" t="n">
        <v>1.092</v>
      </c>
      <c r="M54" s="6" t="n">
        <f aca="false">1/K54</f>
        <v>0.838222967309304</v>
      </c>
      <c r="N54" s="2" t="s">
        <v>99</v>
      </c>
      <c r="O54" s="7" t="s">
        <v>37</v>
      </c>
      <c r="P54" s="2" t="s">
        <v>38</v>
      </c>
      <c r="Q54" s="2" t="s">
        <v>219</v>
      </c>
      <c r="R54" s="2" t="s">
        <v>59</v>
      </c>
      <c r="S54" s="14" t="s">
        <v>60</v>
      </c>
      <c r="T54" s="15" t="s">
        <v>61</v>
      </c>
      <c r="U54" s="2" t="s">
        <v>132</v>
      </c>
      <c r="V54" s="2" t="s">
        <v>44</v>
      </c>
      <c r="W54" s="43" t="s">
        <v>184</v>
      </c>
      <c r="X54" s="26" t="s">
        <v>102</v>
      </c>
      <c r="Y54" s="2" t="s">
        <v>93</v>
      </c>
      <c r="Z54" s="2" t="s">
        <v>48</v>
      </c>
      <c r="AA54" s="43" t="s">
        <v>184</v>
      </c>
      <c r="AB54" s="2" t="s">
        <v>254</v>
      </c>
      <c r="AC54" s="12" t="s">
        <v>50</v>
      </c>
    </row>
    <row r="55" customFormat="false" ht="27.75" hidden="false" customHeight="true" outlineLevel="0" collapsed="false">
      <c r="A55" s="2" t="s">
        <v>231</v>
      </c>
      <c r="B55" s="2" t="n">
        <v>24</v>
      </c>
      <c r="C55" s="2" t="s">
        <v>295</v>
      </c>
      <c r="D55" s="2" t="s">
        <v>296</v>
      </c>
      <c r="E55" s="2" t="s">
        <v>159</v>
      </c>
      <c r="F55" s="2" t="s">
        <v>107</v>
      </c>
      <c r="G55" s="3" t="s">
        <v>108</v>
      </c>
      <c r="H55" s="2" t="s">
        <v>109</v>
      </c>
      <c r="I55" s="4" t="n">
        <v>0.709</v>
      </c>
      <c r="J55" s="2" t="n">
        <f aca="false">MAX(1,MIN(10,ROUND(I55*8+IF(A55="Amateur",0.5,1),0)))</f>
        <v>7</v>
      </c>
      <c r="K55" s="5" t="n">
        <v>1.187</v>
      </c>
      <c r="L55" s="5" t="n">
        <v>1.088</v>
      </c>
      <c r="M55" s="6" t="n">
        <f aca="false">1/K55</f>
        <v>0.8424599831508</v>
      </c>
      <c r="N55" s="2" t="s">
        <v>203</v>
      </c>
      <c r="O55" s="44" t="s">
        <v>50</v>
      </c>
      <c r="P55" s="2" t="s">
        <v>147</v>
      </c>
      <c r="Q55" s="2" t="s">
        <v>58</v>
      </c>
      <c r="R55" s="2" t="s">
        <v>59</v>
      </c>
      <c r="S55" s="8" t="s">
        <v>41</v>
      </c>
      <c r="T55" s="15" t="s">
        <v>61</v>
      </c>
      <c r="U55" s="2" t="s">
        <v>62</v>
      </c>
      <c r="V55" s="2" t="s">
        <v>91</v>
      </c>
      <c r="W55" s="33" t="s">
        <v>139</v>
      </c>
      <c r="X55" s="16" t="s">
        <v>63</v>
      </c>
      <c r="Y55" s="2" t="s">
        <v>93</v>
      </c>
      <c r="Z55" s="2" t="s">
        <v>48</v>
      </c>
      <c r="AA55" s="24" t="s">
        <v>50</v>
      </c>
      <c r="AB55" s="2" t="s">
        <v>156</v>
      </c>
      <c r="AC55" s="18" t="s">
        <v>68</v>
      </c>
    </row>
    <row r="56" customFormat="false" ht="27.75" hidden="false" customHeight="true" outlineLevel="0" collapsed="false">
      <c r="A56" s="2" t="s">
        <v>231</v>
      </c>
      <c r="B56" s="2" t="n">
        <v>25</v>
      </c>
      <c r="C56" s="2" t="s">
        <v>297</v>
      </c>
      <c r="D56" s="2" t="s">
        <v>298</v>
      </c>
      <c r="E56" s="2" t="s">
        <v>53</v>
      </c>
      <c r="F56" s="2" t="s">
        <v>72</v>
      </c>
      <c r="G56" s="3" t="s">
        <v>73</v>
      </c>
      <c r="H56" s="2" t="s">
        <v>74</v>
      </c>
      <c r="I56" s="4" t="n">
        <v>0.696</v>
      </c>
      <c r="J56" s="2" t="n">
        <f aca="false">MAX(1,MIN(10,ROUND(I56*8+IF(A56="Amateur",0.5,1),0)))</f>
        <v>7</v>
      </c>
      <c r="K56" s="5" t="n">
        <v>1.18</v>
      </c>
      <c r="L56" s="5" t="n">
        <v>1.214</v>
      </c>
      <c r="M56" s="6" t="n">
        <f aca="false">1/K56</f>
        <v>0.847457627118644</v>
      </c>
      <c r="N56" s="2" t="s">
        <v>99</v>
      </c>
      <c r="O56" s="13" t="s">
        <v>42</v>
      </c>
      <c r="P56" s="2" t="s">
        <v>38</v>
      </c>
      <c r="Q56" s="2" t="s">
        <v>88</v>
      </c>
      <c r="R56" s="2" t="s">
        <v>59</v>
      </c>
      <c r="S56" s="37" t="s">
        <v>130</v>
      </c>
      <c r="T56" s="19" t="s">
        <v>77</v>
      </c>
      <c r="U56" s="2" t="s">
        <v>299</v>
      </c>
      <c r="V56" s="2" t="s">
        <v>44</v>
      </c>
      <c r="W56" s="43" t="s">
        <v>184</v>
      </c>
      <c r="X56" s="30" t="s">
        <v>121</v>
      </c>
      <c r="Y56" s="2" t="s">
        <v>93</v>
      </c>
      <c r="Z56" s="2" t="s">
        <v>48</v>
      </c>
      <c r="AA56" s="11" t="s">
        <v>46</v>
      </c>
      <c r="AB56" s="2" t="s">
        <v>248</v>
      </c>
      <c r="AC56" s="29" t="s">
        <v>46</v>
      </c>
    </row>
    <row r="57" customFormat="false" ht="27.75" hidden="false" customHeight="true" outlineLevel="0" collapsed="false">
      <c r="A57" s="2" t="s">
        <v>231</v>
      </c>
      <c r="B57" s="2" t="n">
        <v>26</v>
      </c>
      <c r="C57" s="2" t="s">
        <v>300</v>
      </c>
      <c r="D57" s="2" t="s">
        <v>301</v>
      </c>
      <c r="E57" s="2" t="s">
        <v>302</v>
      </c>
      <c r="F57" s="2" t="s">
        <v>127</v>
      </c>
      <c r="G57" s="3" t="s">
        <v>128</v>
      </c>
      <c r="H57" s="2" t="s">
        <v>212</v>
      </c>
      <c r="I57" s="4" t="n">
        <v>0.683</v>
      </c>
      <c r="J57" s="2" t="n">
        <f aca="false">MAX(1,MIN(10,ROUND(I57*8+IF(A57="Amateur",0.5,1),0)))</f>
        <v>6</v>
      </c>
      <c r="K57" s="5" t="n">
        <v>1.173</v>
      </c>
      <c r="L57" s="5" t="n">
        <v>1.08</v>
      </c>
      <c r="M57" s="6" t="n">
        <f aca="false">1/K57</f>
        <v>0.852514919011083</v>
      </c>
      <c r="N57" s="2" t="s">
        <v>36</v>
      </c>
      <c r="O57" s="45" t="s">
        <v>224</v>
      </c>
      <c r="P57" s="2" t="s">
        <v>38</v>
      </c>
      <c r="Q57" s="2" t="s">
        <v>58</v>
      </c>
      <c r="R57" s="2" t="s">
        <v>59</v>
      </c>
      <c r="S57" s="37" t="s">
        <v>130</v>
      </c>
      <c r="T57" s="9" t="s">
        <v>42</v>
      </c>
      <c r="U57" s="2" t="s">
        <v>132</v>
      </c>
      <c r="V57" s="2" t="s">
        <v>91</v>
      </c>
      <c r="W57" s="16" t="s">
        <v>63</v>
      </c>
      <c r="X57" s="21" t="s">
        <v>80</v>
      </c>
      <c r="Y57" s="2" t="s">
        <v>93</v>
      </c>
      <c r="Z57" s="2" t="s">
        <v>48</v>
      </c>
      <c r="AA57" s="21" t="s">
        <v>80</v>
      </c>
      <c r="AB57" s="2" t="s">
        <v>187</v>
      </c>
      <c r="AC57" s="12" t="s">
        <v>50</v>
      </c>
    </row>
    <row r="58" customFormat="false" ht="27.75" hidden="false" customHeight="true" outlineLevel="0" collapsed="false">
      <c r="A58" s="2" t="s">
        <v>231</v>
      </c>
      <c r="B58" s="2" t="n">
        <v>27</v>
      </c>
      <c r="C58" s="2" t="s">
        <v>303</v>
      </c>
      <c r="D58" s="2" t="s">
        <v>304</v>
      </c>
      <c r="E58" s="2" t="s">
        <v>283</v>
      </c>
      <c r="F58" s="2" t="s">
        <v>33</v>
      </c>
      <c r="G58" s="3" t="s">
        <v>34</v>
      </c>
      <c r="H58" s="2" t="s">
        <v>119</v>
      </c>
      <c r="I58" s="4" t="n">
        <v>0.671</v>
      </c>
      <c r="J58" s="2" t="n">
        <f aca="false">MAX(1,MIN(10,ROUND(I58*8+IF(A58="Amateur",0.5,1),0)))</f>
        <v>6</v>
      </c>
      <c r="K58" s="5" t="n">
        <v>1.167</v>
      </c>
      <c r="L58" s="5" t="n">
        <v>1.076</v>
      </c>
      <c r="M58" s="6" t="n">
        <f aca="false">1/K58</f>
        <v>0.856898029134533</v>
      </c>
      <c r="N58" s="2" t="s">
        <v>99</v>
      </c>
      <c r="O58" s="40" t="s">
        <v>41</v>
      </c>
      <c r="P58" s="2" t="s">
        <v>38</v>
      </c>
      <c r="Q58" s="2" t="s">
        <v>177</v>
      </c>
      <c r="R58" s="2" t="s">
        <v>40</v>
      </c>
      <c r="S58" s="46" t="s">
        <v>225</v>
      </c>
      <c r="T58" s="19" t="s">
        <v>77</v>
      </c>
      <c r="U58" s="2" t="s">
        <v>43</v>
      </c>
      <c r="V58" s="2" t="s">
        <v>91</v>
      </c>
      <c r="W58" s="11" t="s">
        <v>46</v>
      </c>
      <c r="X58" s="30" t="s">
        <v>121</v>
      </c>
      <c r="Y58" s="2" t="s">
        <v>93</v>
      </c>
      <c r="Z58" s="2" t="s">
        <v>48</v>
      </c>
      <c r="AA58" s="11" t="s">
        <v>46</v>
      </c>
      <c r="AB58" s="2" t="s">
        <v>204</v>
      </c>
      <c r="AC58" s="29" t="s">
        <v>46</v>
      </c>
    </row>
    <row r="59" customFormat="false" ht="27.75" hidden="false" customHeight="true" outlineLevel="0" collapsed="false">
      <c r="A59" s="2" t="s">
        <v>231</v>
      </c>
      <c r="B59" s="2" t="n">
        <v>28</v>
      </c>
      <c r="C59" s="2" t="s">
        <v>305</v>
      </c>
      <c r="D59" s="2" t="s">
        <v>306</v>
      </c>
      <c r="E59" s="2" t="s">
        <v>202</v>
      </c>
      <c r="F59" s="2" t="s">
        <v>72</v>
      </c>
      <c r="G59" s="3" t="s">
        <v>73</v>
      </c>
      <c r="H59" s="2" t="s">
        <v>74</v>
      </c>
      <c r="I59" s="4" t="n">
        <v>0.658</v>
      </c>
      <c r="J59" s="2" t="n">
        <f aca="false">MAX(1,MIN(10,ROUND(I59*8+IF(A59="Amateur",0.5,1),0)))</f>
        <v>6</v>
      </c>
      <c r="K59" s="5" t="n">
        <v>1.16</v>
      </c>
      <c r="L59" s="5" t="n">
        <v>1.201</v>
      </c>
      <c r="M59" s="6" t="n">
        <f aca="false">1/K59</f>
        <v>0.862068965517241</v>
      </c>
      <c r="N59" s="2" t="s">
        <v>307</v>
      </c>
      <c r="O59" s="40" t="s">
        <v>41</v>
      </c>
      <c r="P59" s="2" t="s">
        <v>147</v>
      </c>
      <c r="Q59" s="2" t="s">
        <v>58</v>
      </c>
      <c r="R59" s="2" t="s">
        <v>59</v>
      </c>
      <c r="S59" s="14" t="s">
        <v>60</v>
      </c>
      <c r="T59" s="23" t="s">
        <v>45</v>
      </c>
      <c r="U59" s="2" t="s">
        <v>78</v>
      </c>
      <c r="V59" s="2" t="s">
        <v>44</v>
      </c>
      <c r="W59" s="43" t="s">
        <v>184</v>
      </c>
      <c r="X59" s="30" t="s">
        <v>121</v>
      </c>
      <c r="Y59" s="2" t="s">
        <v>93</v>
      </c>
      <c r="Z59" s="2" t="s">
        <v>48</v>
      </c>
      <c r="AA59" s="30" t="s">
        <v>121</v>
      </c>
      <c r="AB59" s="2" t="s">
        <v>168</v>
      </c>
      <c r="AC59" s="29" t="s">
        <v>46</v>
      </c>
    </row>
    <row r="60" customFormat="false" ht="27.75" hidden="false" customHeight="true" outlineLevel="0" collapsed="false">
      <c r="A60" s="2" t="s">
        <v>231</v>
      </c>
      <c r="B60" s="2" t="n">
        <v>29</v>
      </c>
      <c r="C60" s="2" t="s">
        <v>308</v>
      </c>
      <c r="D60" s="2" t="s">
        <v>309</v>
      </c>
      <c r="E60" s="2" t="s">
        <v>106</v>
      </c>
      <c r="F60" s="2" t="s">
        <v>97</v>
      </c>
      <c r="G60" s="3" t="s">
        <v>98</v>
      </c>
      <c r="H60" s="2" t="s">
        <v>212</v>
      </c>
      <c r="I60" s="4" t="n">
        <v>0.645</v>
      </c>
      <c r="J60" s="2" t="n">
        <f aca="false">MAX(1,MIN(10,ROUND(I60*8+IF(A60="Amateur",0.5,1),0)))</f>
        <v>6</v>
      </c>
      <c r="K60" s="5" t="n">
        <v>1.246</v>
      </c>
      <c r="L60" s="5" t="n">
        <v>1.068</v>
      </c>
      <c r="M60" s="6" t="n">
        <f aca="false">1/K60</f>
        <v>0.802568218298555</v>
      </c>
      <c r="N60" s="2" t="s">
        <v>110</v>
      </c>
      <c r="O60" s="45" t="s">
        <v>224</v>
      </c>
      <c r="P60" s="2" t="s">
        <v>38</v>
      </c>
      <c r="Q60" s="2" t="s">
        <v>58</v>
      </c>
      <c r="R60" s="2" t="s">
        <v>59</v>
      </c>
      <c r="S60" s="46" t="s">
        <v>225</v>
      </c>
      <c r="T60" s="23" t="s">
        <v>45</v>
      </c>
      <c r="U60" s="2" t="s">
        <v>101</v>
      </c>
      <c r="V60" s="2" t="s">
        <v>44</v>
      </c>
      <c r="W60" s="35" t="s">
        <v>148</v>
      </c>
      <c r="X60" s="17" t="s">
        <v>64</v>
      </c>
      <c r="Y60" s="2" t="s">
        <v>93</v>
      </c>
      <c r="Z60" s="2" t="s">
        <v>48</v>
      </c>
      <c r="AA60" s="35" t="s">
        <v>148</v>
      </c>
      <c r="AB60" s="2" t="s">
        <v>82</v>
      </c>
      <c r="AC60" s="18" t="s">
        <v>68</v>
      </c>
    </row>
    <row r="61" customFormat="false" ht="27.75" hidden="false" customHeight="true" outlineLevel="0" collapsed="false">
      <c r="A61" s="2" t="s">
        <v>231</v>
      </c>
      <c r="B61" s="2" t="n">
        <v>30</v>
      </c>
      <c r="C61" s="2" t="s">
        <v>310</v>
      </c>
      <c r="D61" s="2" t="s">
        <v>311</v>
      </c>
      <c r="E61" s="2" t="s">
        <v>136</v>
      </c>
      <c r="F61" s="2" t="s">
        <v>54</v>
      </c>
      <c r="G61" s="3" t="s">
        <v>55</v>
      </c>
      <c r="H61" s="2" t="s">
        <v>56</v>
      </c>
      <c r="I61" s="4" t="n">
        <v>0.633</v>
      </c>
      <c r="J61" s="2" t="n">
        <f aca="false">MAX(1,MIN(10,ROUND(I61*8+IF(A61="Amateur",0.5,1),0)))</f>
        <v>6</v>
      </c>
      <c r="K61" s="5" t="n">
        <v>1.147</v>
      </c>
      <c r="L61" s="5" t="n">
        <v>1.064</v>
      </c>
      <c r="M61" s="6" t="n">
        <f aca="false">1/K61</f>
        <v>0.871839581517001</v>
      </c>
      <c r="N61" s="2" t="s">
        <v>75</v>
      </c>
      <c r="O61" s="7" t="s">
        <v>37</v>
      </c>
      <c r="P61" s="2" t="s">
        <v>38</v>
      </c>
      <c r="Q61" s="2" t="s">
        <v>58</v>
      </c>
      <c r="R61" s="2" t="s">
        <v>40</v>
      </c>
      <c r="S61" s="22" t="s">
        <v>89</v>
      </c>
      <c r="T61" s="41" t="s">
        <v>130</v>
      </c>
      <c r="U61" s="2" t="s">
        <v>62</v>
      </c>
      <c r="V61" s="2" t="s">
        <v>91</v>
      </c>
      <c r="W61" s="26" t="s">
        <v>102</v>
      </c>
      <c r="X61" s="25" t="s">
        <v>92</v>
      </c>
      <c r="Y61" s="2" t="s">
        <v>93</v>
      </c>
      <c r="Z61" s="2" t="s">
        <v>48</v>
      </c>
      <c r="AA61" s="24" t="s">
        <v>50</v>
      </c>
      <c r="AB61" s="2" t="s">
        <v>103</v>
      </c>
      <c r="AC61" s="12" t="s">
        <v>50</v>
      </c>
    </row>
    <row r="62" customFormat="false" ht="27.75" hidden="false" customHeight="true" outlineLevel="0" collapsed="false">
      <c r="A62" s="2" t="s">
        <v>231</v>
      </c>
      <c r="B62" s="2" t="n">
        <v>31</v>
      </c>
      <c r="C62" s="2" t="s">
        <v>312</v>
      </c>
      <c r="D62" s="2" t="s">
        <v>313</v>
      </c>
      <c r="E62" s="2" t="s">
        <v>241</v>
      </c>
      <c r="F62" s="2" t="s">
        <v>54</v>
      </c>
      <c r="G62" s="3" t="s">
        <v>55</v>
      </c>
      <c r="H62" s="2" t="s">
        <v>86</v>
      </c>
      <c r="I62" s="4" t="n">
        <v>0.62</v>
      </c>
      <c r="J62" s="2" t="n">
        <f aca="false">MAX(1,MIN(10,ROUND(I62*8+IF(A62="Amateur",0.5,1),0)))</f>
        <v>6</v>
      </c>
      <c r="K62" s="5" t="n">
        <v>1.14</v>
      </c>
      <c r="L62" s="5" t="n">
        <v>1.06</v>
      </c>
      <c r="M62" s="6" t="n">
        <f aca="false">1/K62</f>
        <v>0.87719298245614</v>
      </c>
      <c r="N62" s="2" t="s">
        <v>110</v>
      </c>
      <c r="O62" s="7" t="s">
        <v>37</v>
      </c>
      <c r="P62" s="2" t="s">
        <v>38</v>
      </c>
      <c r="Q62" s="2" t="s">
        <v>131</v>
      </c>
      <c r="R62" s="2" t="s">
        <v>59</v>
      </c>
      <c r="S62" s="46" t="s">
        <v>225</v>
      </c>
      <c r="T62" s="23" t="s">
        <v>45</v>
      </c>
      <c r="U62" s="2" t="s">
        <v>62</v>
      </c>
      <c r="V62" s="2" t="s">
        <v>44</v>
      </c>
      <c r="W62" s="30" t="s">
        <v>121</v>
      </c>
      <c r="X62" s="11" t="s">
        <v>46</v>
      </c>
      <c r="Y62" s="2" t="s">
        <v>93</v>
      </c>
      <c r="Z62" s="2" t="s">
        <v>48</v>
      </c>
      <c r="AA62" s="24" t="s">
        <v>50</v>
      </c>
      <c r="AB62" s="2" t="s">
        <v>187</v>
      </c>
      <c r="AC62" s="18" t="s">
        <v>68</v>
      </c>
    </row>
  </sheetData>
  <autoFilter ref="A1:AC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9"/>
  </cols>
  <sheetData>
    <row r="1" customFormat="false" ht="30" hidden="false" customHeight="true" outlineLevel="0" collapsed="false">
      <c r="A1" s="1" t="s">
        <v>5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</row>
    <row r="2" customFormat="false" ht="42" hidden="false" customHeight="true" outlineLevel="0" collapsed="false">
      <c r="A2" s="3" t="s">
        <v>33</v>
      </c>
      <c r="B2" s="3" t="s">
        <v>34</v>
      </c>
      <c r="C2" s="3" t="s">
        <v>320</v>
      </c>
      <c r="D2" s="3" t="s">
        <v>321</v>
      </c>
      <c r="E2" s="3" t="s">
        <v>322</v>
      </c>
      <c r="F2" s="3" t="s">
        <v>323</v>
      </c>
      <c r="G2" s="3" t="n">
        <f aca="false">COUNTIF(Roster!F:F,A2)</f>
        <v>8</v>
      </c>
    </row>
    <row r="3" customFormat="false" ht="42" hidden="false" customHeight="true" outlineLevel="0" collapsed="false">
      <c r="A3" s="3" t="s">
        <v>54</v>
      </c>
      <c r="B3" s="3" t="s">
        <v>55</v>
      </c>
      <c r="C3" s="3" t="s">
        <v>324</v>
      </c>
      <c r="D3" s="3" t="s">
        <v>325</v>
      </c>
      <c r="E3" s="3" t="s">
        <v>326</v>
      </c>
      <c r="F3" s="3" t="s">
        <v>327</v>
      </c>
      <c r="G3" s="3" t="n">
        <f aca="false">COUNTIF(Roster!F:F,A3)</f>
        <v>8</v>
      </c>
    </row>
    <row r="4" customFormat="false" ht="42" hidden="false" customHeight="true" outlineLevel="0" collapsed="false">
      <c r="A4" s="3" t="s">
        <v>72</v>
      </c>
      <c r="B4" s="3" t="s">
        <v>73</v>
      </c>
      <c r="C4" s="3" t="s">
        <v>328</v>
      </c>
      <c r="D4" s="3" t="s">
        <v>329</v>
      </c>
      <c r="E4" s="3" t="s">
        <v>330</v>
      </c>
      <c r="F4" s="3" t="s">
        <v>331</v>
      </c>
      <c r="G4" s="3" t="n">
        <f aca="false">COUNTIF(Roster!F:F,A4)</f>
        <v>8</v>
      </c>
    </row>
    <row r="5" customFormat="false" ht="42" hidden="false" customHeight="true" outlineLevel="0" collapsed="false">
      <c r="A5" s="3" t="s">
        <v>166</v>
      </c>
      <c r="B5" s="3" t="s">
        <v>167</v>
      </c>
      <c r="C5" s="3" t="s">
        <v>332</v>
      </c>
      <c r="D5" s="3" t="s">
        <v>333</v>
      </c>
      <c r="E5" s="3" t="s">
        <v>334</v>
      </c>
      <c r="F5" s="3" t="s">
        <v>335</v>
      </c>
      <c r="G5" s="3" t="n">
        <f aca="false">COUNTIF(Roster!F:F,A5)</f>
        <v>8</v>
      </c>
    </row>
    <row r="6" customFormat="false" ht="42" hidden="false" customHeight="true" outlineLevel="0" collapsed="false">
      <c r="A6" s="3" t="s">
        <v>144</v>
      </c>
      <c r="B6" s="3" t="s">
        <v>145</v>
      </c>
      <c r="C6" s="3" t="s">
        <v>328</v>
      </c>
      <c r="D6" s="3" t="s">
        <v>336</v>
      </c>
      <c r="E6" s="3" t="s">
        <v>337</v>
      </c>
      <c r="F6" s="3" t="s">
        <v>338</v>
      </c>
      <c r="G6" s="3" t="n">
        <f aca="false">COUNTIF(Roster!F:F,A6)</f>
        <v>7</v>
      </c>
    </row>
    <row r="7" customFormat="false" ht="42" hidden="false" customHeight="true" outlineLevel="0" collapsed="false">
      <c r="A7" s="3" t="s">
        <v>127</v>
      </c>
      <c r="B7" s="3" t="s">
        <v>128</v>
      </c>
      <c r="C7" s="3" t="s">
        <v>332</v>
      </c>
      <c r="D7" s="3" t="s">
        <v>329</v>
      </c>
      <c r="E7" s="3" t="s">
        <v>339</v>
      </c>
      <c r="F7" s="3" t="s">
        <v>340</v>
      </c>
      <c r="G7" s="3" t="n">
        <f aca="false">COUNTIF(Roster!F:F,A7)</f>
        <v>7</v>
      </c>
    </row>
    <row r="8" customFormat="false" ht="42" hidden="false" customHeight="true" outlineLevel="0" collapsed="false">
      <c r="A8" s="3" t="s">
        <v>117</v>
      </c>
      <c r="B8" s="3" t="s">
        <v>118</v>
      </c>
      <c r="C8" s="3" t="s">
        <v>341</v>
      </c>
      <c r="D8" s="3" t="s">
        <v>329</v>
      </c>
      <c r="E8" s="3" t="s">
        <v>342</v>
      </c>
      <c r="F8" s="3" t="s">
        <v>343</v>
      </c>
      <c r="G8" s="3" t="n">
        <f aca="false">COUNTIF(Roster!F:F,A8)</f>
        <v>5</v>
      </c>
    </row>
    <row r="9" customFormat="false" ht="42" hidden="false" customHeight="true" outlineLevel="0" collapsed="false">
      <c r="A9" s="3" t="s">
        <v>97</v>
      </c>
      <c r="B9" s="3" t="s">
        <v>98</v>
      </c>
      <c r="C9" s="3" t="s">
        <v>341</v>
      </c>
      <c r="D9" s="3" t="s">
        <v>329</v>
      </c>
      <c r="E9" s="3" t="s">
        <v>344</v>
      </c>
      <c r="F9" s="3" t="s">
        <v>345</v>
      </c>
      <c r="G9" s="3" t="n">
        <f aca="false">COUNTIF(Roster!F:F,A9)</f>
        <v>5</v>
      </c>
    </row>
    <row r="10" customFormat="false" ht="42" hidden="false" customHeight="true" outlineLevel="0" collapsed="false">
      <c r="A10" s="3" t="s">
        <v>107</v>
      </c>
      <c r="B10" s="3" t="s">
        <v>108</v>
      </c>
      <c r="C10" s="3" t="s">
        <v>341</v>
      </c>
      <c r="D10" s="3" t="s">
        <v>329</v>
      </c>
      <c r="E10" s="3" t="s">
        <v>346</v>
      </c>
      <c r="F10" s="3" t="s">
        <v>347</v>
      </c>
      <c r="G10" s="3" t="n">
        <f aca="false">COUNTIF(Roster!F:F,A10)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0</v>
      </c>
      <c r="B1" s="1" t="s">
        <v>348</v>
      </c>
      <c r="C1" s="1" t="s">
        <v>319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</row>
    <row r="2" customFormat="false" ht="15" hidden="false" customHeight="false" outlineLevel="0" collapsed="false">
      <c r="A2" s="49" t="s">
        <v>356</v>
      </c>
      <c r="B2" s="49" t="s">
        <v>29</v>
      </c>
      <c r="C2" s="50" t="n">
        <v>16</v>
      </c>
      <c r="D2" s="49" t="n">
        <f aca="false">LOG(C2,2)</f>
        <v>4</v>
      </c>
      <c r="E2" s="49" t="n">
        <f aca="false">COUNTIF(Roster!A:A,B2)</f>
        <v>15</v>
      </c>
      <c r="F2" s="51" t="n">
        <f aca="false">_xlfn.MINIFS(Roster!I:I,Roster!A:A,B2)</f>
        <v>0</v>
      </c>
      <c r="G2" s="51" t="n">
        <f aca="false">_xlfn.MAXIFS(Roster!I:I,Roster!A:A,B2)</f>
        <v>0.45</v>
      </c>
      <c r="H2" s="52" t="n">
        <f aca="false">_xlfn.MINIFS(Roster!K:K,Roster!A:A,B2)</f>
        <v>1</v>
      </c>
      <c r="I2" s="52" t="n">
        <f aca="false">_xlfn.MAXIFS(Roster!K:K,Roster!A:A,B2)</f>
        <v>1.08</v>
      </c>
      <c r="J2" s="53" t="n">
        <v>0</v>
      </c>
    </row>
    <row r="3" customFormat="false" ht="15" hidden="false" customHeight="false" outlineLevel="0" collapsed="false">
      <c r="A3" s="49" t="s">
        <v>357</v>
      </c>
      <c r="B3" s="49" t="s">
        <v>179</v>
      </c>
      <c r="C3" s="50" t="n">
        <v>16</v>
      </c>
      <c r="D3" s="49" t="n">
        <f aca="false">LOG(C3,2)</f>
        <v>4</v>
      </c>
      <c r="E3" s="49" t="n">
        <f aca="false">COUNTIF(Roster!A:A,B3)</f>
        <v>15</v>
      </c>
      <c r="F3" s="51" t="n">
        <f aca="false">_xlfn.MINIFS(Roster!I:I,Roster!A:A,B3)</f>
        <v>0.35</v>
      </c>
      <c r="G3" s="51" t="n">
        <f aca="false">_xlfn.MAXIFS(Roster!I:I,Roster!A:A,B3)</f>
        <v>0.75</v>
      </c>
      <c r="H3" s="52" t="n">
        <f aca="false">_xlfn.MINIFS(Roster!K:K,Roster!A:A,B3)</f>
        <v>1.04</v>
      </c>
      <c r="I3" s="52" t="n">
        <f aca="false">_xlfn.MAXIFS(Roster!K:K,Roster!A:A,B3)</f>
        <v>1.216</v>
      </c>
      <c r="J3" s="53" t="n">
        <v>0</v>
      </c>
    </row>
    <row r="4" customFormat="false" ht="15" hidden="false" customHeight="false" outlineLevel="0" collapsed="false">
      <c r="A4" s="49" t="s">
        <v>358</v>
      </c>
      <c r="B4" s="49" t="s">
        <v>231</v>
      </c>
      <c r="C4" s="50" t="n">
        <v>32</v>
      </c>
      <c r="D4" s="49" t="n">
        <f aca="false">LOG(C4,2)</f>
        <v>5</v>
      </c>
      <c r="E4" s="49" t="n">
        <f aca="false">COUNTIF(Roster!A:A,B4)</f>
        <v>31</v>
      </c>
      <c r="F4" s="51" t="n">
        <f aca="false">_xlfn.MINIFS(Roster!I:I,Roster!A:A,B4)</f>
        <v>0.62</v>
      </c>
      <c r="G4" s="51" t="n">
        <f aca="false">_xlfn.MAXIFS(Roster!I:I,Roster!A:A,B4)</f>
        <v>1</v>
      </c>
      <c r="H4" s="52" t="n">
        <f aca="false">_xlfn.MINIFS(Roster!K:K,Roster!A:A,B4)</f>
        <v>1.14</v>
      </c>
      <c r="I4" s="52" t="n">
        <f aca="false">_xlfn.MAXIFS(Roster!K:K,Roster!A:A,B4)</f>
        <v>1.418</v>
      </c>
      <c r="J4" s="53" t="n">
        <v>0.07</v>
      </c>
    </row>
    <row r="6" customFormat="false" ht="15" hidden="false" customHeight="false" outlineLevel="0" collapsed="false">
      <c r="A6" s="54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2026-10-26T07:54:43Z</dcterms:created>
  <dc:creator>openpyxl</dc:creator>
  <dc:description/>
  <dc:language>en-US</dc:language>
  <cp:lastModifiedBy/>
  <dcterms:modified xsi:type="dcterms:W3CDTF">2026-10-26T07:54:43Z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